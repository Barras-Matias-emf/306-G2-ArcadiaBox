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jonas_deillon_studentfr_ch/Documents/02.EMF/3.3eme annee/Module 306/306-G2-ArcadiaBox/documentation/"/>
    </mc:Choice>
  </mc:AlternateContent>
  <xr:revisionPtr revIDLastSave="27" documentId="13_ncr:1_{73D04856-16F0-41BE-B657-A52BE9C83EED}" xr6:coauthVersionLast="47" xr6:coauthVersionMax="47" xr10:uidLastSave="{F442BBDB-03AF-43F8-A5AA-DC6F8F51D4CD}"/>
  <bookViews>
    <workbookView xWindow="28680" yWindow="-180" windowWidth="29040" windowHeight="15720" xr2:uid="{00000000-000D-0000-FFFF-FFFF00000000}"/>
  </bookViews>
  <sheets>
    <sheet name="Journal_DEILLON_JONAS" sheetId="8" r:id="rId1"/>
    <sheet name="Journal_NOM_PRENOM4" sheetId="11" r:id="rId2"/>
  </sheets>
  <definedNames>
    <definedName name="_xlnm._FilterDatabase" localSheetId="0" hidden="1">Journal_DEILLON_JONAS!$A$5:$HI$5</definedName>
    <definedName name="_xlnm._FilterDatabase" localSheetId="1" hidden="1">Journal_NOM_PRENOM4!$A$5:$HI$5</definedName>
    <definedName name="_xlnm.Print_Titles" localSheetId="0">Journal_DEILLON_JONAS!$B:$D,Journal_DEILLON_JONAS!$1:$5</definedName>
    <definedName name="_xlnm.Print_Titles" localSheetId="1">Journal_NOM_PRENOM4!$B:$D,Journal_NOM_PRENOM4!$1:$5</definedName>
    <definedName name="_xlnm.Print_Area" localSheetId="0">Journal_DEILLON_JONAS!$A$1:$D$83</definedName>
    <definedName name="_xlnm.Print_Area" localSheetId="1">Journal_NOM_PRENOM4!$A$1:$D$83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8" l="1"/>
  <c r="D81" i="11"/>
  <c r="D74" i="11"/>
  <c r="D67" i="11"/>
  <c r="D60" i="11"/>
  <c r="D53" i="11"/>
  <c r="D46" i="11"/>
  <c r="D39" i="11"/>
  <c r="D32" i="11"/>
  <c r="D25" i="11"/>
  <c r="D18" i="11"/>
  <c r="D11" i="11"/>
  <c r="D83" i="11" s="1"/>
  <c r="D60" i="8"/>
  <c r="D53" i="8"/>
  <c r="D46" i="8"/>
  <c r="D81" i="8"/>
  <c r="D74" i="8"/>
  <c r="D67" i="8"/>
  <c r="D39" i="8"/>
  <c r="D32" i="8"/>
  <c r="D18" i="8"/>
  <c r="D11" i="8"/>
  <c r="D83" i="8" l="1"/>
</calcChain>
</file>

<file path=xl/sharedStrings.xml><?xml version="1.0" encoding="utf-8"?>
<sst xmlns="http://schemas.openxmlformats.org/spreadsheetml/2006/main" count="82" uniqueCount="33">
  <si>
    <r>
      <rPr>
        <b/>
        <sz val="16"/>
        <color rgb="FF000000"/>
        <rFont val="Arial"/>
      </rPr>
      <t>Projet :</t>
    </r>
    <r>
      <rPr>
        <b/>
        <sz val="14"/>
        <color rgb="FF000000"/>
        <rFont val="Arial"/>
      </rPr>
      <t xml:space="preserve"> </t>
    </r>
    <r>
      <rPr>
        <sz val="14"/>
        <color rgb="FF000000"/>
        <rFont val="Arial"/>
      </rPr>
      <t xml:space="preserve">Arcadia      </t>
    </r>
    <r>
      <rPr>
        <sz val="16"/>
        <color rgb="FF000000"/>
        <rFont val="Arial"/>
      </rPr>
      <t xml:space="preserve">                      </t>
    </r>
  </si>
  <si>
    <t>Jonas Deillon</t>
  </si>
  <si>
    <t>Date</t>
  </si>
  <si>
    <t>Travail effectué</t>
  </si>
  <si>
    <t>Temps</t>
  </si>
  <si>
    <t>[H.h]</t>
  </si>
  <si>
    <t>Remplisage du document BusinessCase</t>
  </si>
  <si>
    <t>Remplissage du document Cahier des charges</t>
  </si>
  <si>
    <r>
      <t xml:space="preserve">Réflexion personnelle </t>
    </r>
    <r>
      <rPr>
        <sz val="8"/>
        <rFont val="Calibri"/>
        <family val="2"/>
      </rPr>
      <t>↓↓↓</t>
    </r>
  </si>
  <si>
    <t>Total &gt;</t>
  </si>
  <si>
    <t>Cette première semaine comportait quelque peu de théorie, mais celle-ci était néanmoins nécessaire, ainsi qu’une certaine mise en place. Je trouve toujours très intéressants les projets de groupe.</t>
  </si>
  <si>
    <t>Daily Scrum</t>
  </si>
  <si>
    <t>Documentation sur Emulator.js</t>
  </si>
  <si>
    <t>Test de Emulator.js</t>
  </si>
  <si>
    <t xml:space="preserve">Le sprint étant très court je n'ai pas beaucoup de réfléxion à faire mais c'était intéressant de devoir bien répartir les taches pour ce debut de projet afin doptimiser le temps mis a disposition. </t>
  </si>
  <si>
    <t>Total général &gt;</t>
  </si>
  <si>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</si>
  <si>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</si>
  <si>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</si>
  <si>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[no candidat]</t>
  </si>
  <si>
    <t>Sprint review</t>
  </si>
  <si>
    <t>Sprint planning</t>
  </si>
  <si>
    <t xml:space="preserve">Documentation  </t>
  </si>
  <si>
    <t>Ce sprint était assez intense, car je me suis beaucoup concentré sur une tâche jusqu’à y parvenir. Ma persévérance a mené à un résultat concluant, avec un système fonctionnel, ce qui constitue un point positif. Ce sprint était principalement axé sur la réalisation, mais nous avons également remarqué que la documentation est primordiale et que nous l’avons quelque peu négligée.</t>
  </si>
  <si>
    <t>Mise en place du système de récupération de score</t>
  </si>
  <si>
    <t>Implémentation de l'émulateur en production</t>
  </si>
  <si>
    <t xml:space="preserve">J'ai renconcontré un gros défi technique par rapport a la récupération de scores et je n'ai donc pas pu terrminer cette fonctiionalitée pendant ce sprint. </t>
  </si>
  <si>
    <t>Implémentation de l'émulateur pour Galaga</t>
  </si>
  <si>
    <t>Stylisation du site</t>
  </si>
  <si>
    <t>Implémentation de l'envoi des score avec détéction des game over</t>
  </si>
  <si>
    <t>Correction de multiples bugs dans l'application</t>
  </si>
  <si>
    <t>Finalisation de l'application</t>
  </si>
  <si>
    <t>Terminer la documentation et les derniers correctifs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</si>
</sst>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5"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ont>
    <font>
      <b/>
      <sz val="14"/>
      <color rgb="FF000000"/>
      <name val="Arial"/>
    </font>
    <font>
      <sz val="14"/>
      <color rgb="FF000000"/>
      <name val="Arial"/>
    </font>
    <font>
      <sz val="16"/>
      <color rgb="FF000000"/>
      <name val="Arial"/>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0">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11" fillId="0" borderId="0" xfId="0" applyFont="1" applyAlignment="1" applyProtection="1">
      <alignment horizontal="left"/>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0" fillId="0" borderId="0" xfId="0" applyAlignment="1" applyProtection="1">
      <alignment horizontal="center"/>
      <protection locked="0"/>
    </xf>
    <xf numFmtId="0" fontId="0" fillId="0" borderId="11" xfId="0" applyBorder="1" applyAlignment="1" applyProtection="1">
      <alignment horizontal="center"/>
      <protection locked="0"/>
    </xf>
  </cellXfs>
  <cellStyles count="1">
    <cellStyle name="Normal" xfId="0" builtinId="0"/>
  </cellStyles>
  <dxfs count="4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topLeftCell="A26" zoomScale="115" zoomScaleNormal="115" zoomScaleSheetLayoutView="115" workbookViewId="0">
      <pane ySplit="1" topLeftCell="A40" activePane="bottomLeft"/>
      <selection activeCell="D5" sqref="A5:XFD5"/>
      <selection pane="bottomLeft" activeCell="P54" sqref="P54"/>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0</v>
      </c>
      <c r="B1" s="28"/>
      <c r="C1" s="28"/>
      <c r="D1" s="28"/>
    </row>
    <row r="2" spans="1:4" ht="18" x14ac:dyDescent="0.25">
      <c r="A2" s="35" t="s">
        <v>1</v>
      </c>
      <c r="B2" s="35"/>
      <c r="C2" s="36"/>
      <c r="D2" s="4">
        <v>1</v>
      </c>
    </row>
    <row r="4" spans="1:4" ht="12" customHeight="1" x14ac:dyDescent="0.2">
      <c r="A4" s="29" t="s">
        <v>2</v>
      </c>
      <c r="B4" s="29" t="s">
        <v>3</v>
      </c>
      <c r="C4" s="30"/>
      <c r="D4" s="5" t="s">
        <v>4</v>
      </c>
    </row>
    <row r="5" spans="1:4" ht="13.5" thickBot="1" x14ac:dyDescent="0.25">
      <c r="A5" s="31"/>
      <c r="B5" s="31"/>
      <c r="C5" s="32"/>
      <c r="D5" s="6" t="s">
        <v>5</v>
      </c>
    </row>
    <row r="6" spans="1:4" ht="12.75" customHeight="1" x14ac:dyDescent="0.2">
      <c r="A6" s="37">
        <v>45996</v>
      </c>
      <c r="B6" s="33" t="s">
        <v>6</v>
      </c>
      <c r="C6" s="34"/>
      <c r="D6" s="7">
        <v>2</v>
      </c>
    </row>
    <row r="7" spans="1:4" x14ac:dyDescent="0.2">
      <c r="A7" s="15"/>
      <c r="B7" s="18" t="s">
        <v>7</v>
      </c>
      <c r="C7" s="19"/>
      <c r="D7" s="8">
        <v>1.75</v>
      </c>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9</v>
      </c>
      <c r="D11" s="9">
        <f>SUM(D6:D10)</f>
        <v>3.75</v>
      </c>
    </row>
    <row r="12" spans="1:4" ht="24.95" customHeight="1" x14ac:dyDescent="0.2">
      <c r="A12" s="15"/>
      <c r="B12" s="20" t="s">
        <v>10</v>
      </c>
      <c r="C12" s="21"/>
      <c r="D12" s="22"/>
    </row>
    <row r="13" spans="1:4" ht="12.75" customHeight="1" x14ac:dyDescent="0.2">
      <c r="A13" s="14">
        <v>46003</v>
      </c>
      <c r="B13" s="16" t="s">
        <v>11</v>
      </c>
      <c r="C13" s="17"/>
      <c r="D13" s="7">
        <v>0.25</v>
      </c>
    </row>
    <row r="14" spans="1:4" x14ac:dyDescent="0.2">
      <c r="A14" s="15"/>
      <c r="B14" s="18" t="s">
        <v>12</v>
      </c>
      <c r="C14" s="19"/>
      <c r="D14" s="8">
        <v>0.75</v>
      </c>
    </row>
    <row r="15" spans="1:4" x14ac:dyDescent="0.2">
      <c r="A15" s="15"/>
      <c r="B15" s="18" t="s">
        <v>13</v>
      </c>
      <c r="C15" s="19"/>
      <c r="D15" s="8">
        <v>0.75</v>
      </c>
    </row>
    <row r="16" spans="1:4" x14ac:dyDescent="0.2">
      <c r="A16" s="15"/>
      <c r="B16" s="18"/>
      <c r="C16" s="19"/>
      <c r="D16" s="8"/>
    </row>
    <row r="17" spans="1:4" x14ac:dyDescent="0.2">
      <c r="A17" s="15"/>
      <c r="B17" s="18"/>
      <c r="C17" s="19"/>
      <c r="D17" s="8"/>
    </row>
    <row r="18" spans="1:4" x14ac:dyDescent="0.2">
      <c r="A18" s="15"/>
      <c r="B18" s="2" t="s">
        <v>8</v>
      </c>
      <c r="C18" s="3" t="s">
        <v>9</v>
      </c>
      <c r="D18" s="9">
        <f>SUM(D13:D17)</f>
        <v>1.75</v>
      </c>
    </row>
    <row r="19" spans="1:4" ht="24.95" customHeight="1" x14ac:dyDescent="0.2">
      <c r="A19" s="15"/>
      <c r="B19" s="20" t="s">
        <v>14</v>
      </c>
      <c r="C19" s="21"/>
      <c r="D19" s="22"/>
    </row>
    <row r="20" spans="1:4" ht="12.75" customHeight="1" x14ac:dyDescent="0.2">
      <c r="A20" s="14">
        <v>46009</v>
      </c>
      <c r="B20" s="16" t="s">
        <v>20</v>
      </c>
      <c r="C20" s="17"/>
      <c r="D20" s="7">
        <v>0.25</v>
      </c>
    </row>
    <row r="21" spans="1:4" x14ac:dyDescent="0.2">
      <c r="A21" s="15"/>
      <c r="B21" s="18" t="s">
        <v>21</v>
      </c>
      <c r="C21" s="19"/>
      <c r="D21" s="8">
        <v>0.1</v>
      </c>
    </row>
    <row r="22" spans="1:4" x14ac:dyDescent="0.2">
      <c r="A22" s="15"/>
      <c r="B22" s="18" t="s">
        <v>22</v>
      </c>
      <c r="C22" s="19"/>
      <c r="D22" s="8">
        <v>3.2</v>
      </c>
    </row>
    <row r="23" spans="1:4" x14ac:dyDescent="0.2">
      <c r="A23" s="15"/>
    </row>
    <row r="24" spans="1:4" x14ac:dyDescent="0.2">
      <c r="A24" s="15"/>
      <c r="B24" s="18"/>
      <c r="C24" s="19"/>
      <c r="D24" s="8"/>
    </row>
    <row r="25" spans="1:4" x14ac:dyDescent="0.2">
      <c r="A25" s="15"/>
      <c r="B25" s="2" t="s">
        <v>8</v>
      </c>
      <c r="C25" s="3" t="s">
        <v>9</v>
      </c>
      <c r="D25" s="9">
        <f>SUM(D20:D24)</f>
        <v>3.5500000000000003</v>
      </c>
    </row>
    <row r="26" spans="1:4" ht="24.95" customHeight="1" x14ac:dyDescent="0.2">
      <c r="A26" s="15"/>
      <c r="B26" s="39"/>
      <c r="C26" s="38"/>
    </row>
    <row r="27" spans="1:4" ht="12.75" customHeight="1" x14ac:dyDescent="0.2">
      <c r="A27" s="14">
        <v>46010</v>
      </c>
      <c r="B27" s="18" t="s">
        <v>24</v>
      </c>
      <c r="C27" s="19"/>
      <c r="D27" s="8">
        <v>5</v>
      </c>
    </row>
    <row r="28" spans="1:4" x14ac:dyDescent="0.2">
      <c r="A28" s="15"/>
      <c r="B28" s="18" t="s">
        <v>25</v>
      </c>
      <c r="C28" s="19"/>
      <c r="D28" s="8">
        <v>1.5</v>
      </c>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9</v>
      </c>
      <c r="D32" s="9">
        <f>SUM(D27:D31)</f>
        <v>6.5</v>
      </c>
    </row>
    <row r="33" spans="1:4" ht="24.95" customHeight="1" x14ac:dyDescent="0.2">
      <c r="A33" s="23"/>
      <c r="B33" s="24" t="s">
        <v>26</v>
      </c>
      <c r="C33" s="25"/>
      <c r="D33" s="26"/>
    </row>
    <row r="34" spans="1:4" ht="12.75" customHeight="1" x14ac:dyDescent="0.2">
      <c r="A34" s="14">
        <v>46030</v>
      </c>
      <c r="B34" s="18" t="s">
        <v>24</v>
      </c>
      <c r="C34" s="19"/>
      <c r="D34" s="7">
        <v>3.75</v>
      </c>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9</v>
      </c>
      <c r="D39" s="9">
        <f>SUM(D34:D38)</f>
        <v>3.75</v>
      </c>
    </row>
    <row r="40" spans="1:4" ht="24.95" customHeight="1" x14ac:dyDescent="0.2">
      <c r="A40" s="23"/>
      <c r="B40" s="20" t="s">
        <v>23</v>
      </c>
      <c r="C40" s="21"/>
      <c r="D40" s="22"/>
    </row>
    <row r="41" spans="1:4" ht="12.75" customHeight="1" x14ac:dyDescent="0.2">
      <c r="A41" s="14">
        <v>46031</v>
      </c>
      <c r="B41" s="16" t="s">
        <v>27</v>
      </c>
      <c r="C41" s="17"/>
      <c r="D41" s="7">
        <v>3</v>
      </c>
    </row>
    <row r="42" spans="1:4" x14ac:dyDescent="0.2">
      <c r="A42" s="15"/>
      <c r="B42" s="18" t="s">
        <v>28</v>
      </c>
      <c r="C42" s="19"/>
      <c r="D42" s="8">
        <v>2</v>
      </c>
    </row>
    <row r="43" spans="1:4" x14ac:dyDescent="0.2">
      <c r="A43" s="15"/>
      <c r="B43" s="18" t="s">
        <v>29</v>
      </c>
      <c r="C43" s="19"/>
      <c r="D43" s="8">
        <v>1.9</v>
      </c>
    </row>
    <row r="44" spans="1:4" x14ac:dyDescent="0.2">
      <c r="A44" s="15"/>
      <c r="B44" s="18"/>
      <c r="C44" s="19"/>
      <c r="D44" s="8"/>
    </row>
    <row r="45" spans="1:4" x14ac:dyDescent="0.2">
      <c r="A45" s="15"/>
      <c r="B45" s="18"/>
      <c r="C45" s="19"/>
      <c r="D45" s="8"/>
    </row>
    <row r="46" spans="1:4" x14ac:dyDescent="0.2">
      <c r="A46" s="15"/>
      <c r="B46" s="2" t="s">
        <v>8</v>
      </c>
      <c r="C46" s="3" t="s">
        <v>9</v>
      </c>
      <c r="D46" s="9">
        <f>SUM(D41:D45)</f>
        <v>6.9</v>
      </c>
    </row>
    <row r="47" spans="1:4" ht="24.95" customHeight="1" x14ac:dyDescent="0.2">
      <c r="A47" s="23"/>
      <c r="B47" s="24"/>
      <c r="C47" s="25"/>
      <c r="D47" s="26"/>
    </row>
    <row r="48" spans="1:4" ht="12.75" customHeight="1" x14ac:dyDescent="0.2">
      <c r="A48" s="14">
        <v>46037</v>
      </c>
      <c r="B48" s="16" t="s">
        <v>30</v>
      </c>
      <c r="C48" s="17"/>
      <c r="D48" s="7">
        <v>1.75</v>
      </c>
    </row>
    <row r="49" spans="1:4" x14ac:dyDescent="0.2">
      <c r="A49" s="15"/>
      <c r="B49" s="18" t="s">
        <v>31</v>
      </c>
      <c r="C49" s="19"/>
      <c r="D49" s="8">
        <v>2</v>
      </c>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9</v>
      </c>
      <c r="D53" s="9">
        <f>SUM(D48:D52)</f>
        <v>3.75</v>
      </c>
    </row>
    <row r="54" spans="1:4" ht="24.95" customHeight="1" x14ac:dyDescent="0.2">
      <c r="A54" s="23"/>
      <c r="B54" s="24"/>
      <c r="C54" s="25"/>
      <c r="D54" s="26"/>
    </row>
    <row r="55" spans="1:4" ht="12.75" customHeight="1" x14ac:dyDescent="0.2">
      <c r="A55" s="14">
        <v>46038</v>
      </c>
      <c r="B55" s="16" t="s">
        <v>32</v>
      </c>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9</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9</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9</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9</v>
      </c>
      <c r="D81" s="9">
        <f>SUM(D76:D80)</f>
        <v>0</v>
      </c>
    </row>
    <row r="82" spans="1:4" ht="24.95" customHeight="1" x14ac:dyDescent="0.2">
      <c r="A82" s="23"/>
      <c r="B82" s="24"/>
      <c r="C82" s="25"/>
      <c r="D82" s="26"/>
    </row>
    <row r="83" spans="1:4" ht="12" customHeight="1" x14ac:dyDescent="0.2">
      <c r="A83" s="11"/>
      <c r="B83" s="10"/>
      <c r="C83" s="3" t="s">
        <v>15</v>
      </c>
      <c r="D83" s="12">
        <f>D11+D18+D25+D32+D39+D46+D53+D60+D67+D74+D81</f>
        <v>29.950000000000003</v>
      </c>
    </row>
    <row r="84" spans="1:4" x14ac:dyDescent="0.2">
      <c r="A84" s="13" t="s">
        <v>16</v>
      </c>
      <c r="B84" s="13"/>
      <c r="C84" s="13"/>
      <c r="D84" s="13"/>
    </row>
  </sheetData>
  <mergeCells count="81">
    <mergeCell ref="A20:A26"/>
    <mergeCell ref="B20:C20"/>
    <mergeCell ref="B21:C21"/>
    <mergeCell ref="B22:C22"/>
    <mergeCell ref="B27:C27"/>
    <mergeCell ref="B24:C24"/>
    <mergeCell ref="B40:D40"/>
    <mergeCell ref="B26:C26"/>
    <mergeCell ref="B56:C56"/>
    <mergeCell ref="B57:C57"/>
    <mergeCell ref="B58:C58"/>
    <mergeCell ref="B59:C59"/>
    <mergeCell ref="B61:D61"/>
    <mergeCell ref="A76:A82"/>
    <mergeCell ref="B76:C76"/>
    <mergeCell ref="B77:C77"/>
    <mergeCell ref="B78:C78"/>
    <mergeCell ref="B79:C79"/>
    <mergeCell ref="B80:C80"/>
    <mergeCell ref="B82:D82"/>
    <mergeCell ref="A48:A54"/>
    <mergeCell ref="A69:A75"/>
    <mergeCell ref="B69:C69"/>
    <mergeCell ref="B70:C70"/>
    <mergeCell ref="B71:C71"/>
    <mergeCell ref="B72:C72"/>
    <mergeCell ref="B73:C73"/>
    <mergeCell ref="B75:D75"/>
    <mergeCell ref="B48:C48"/>
    <mergeCell ref="B49:C49"/>
    <mergeCell ref="B50:C50"/>
    <mergeCell ref="B51:C51"/>
    <mergeCell ref="B52:C52"/>
    <mergeCell ref="B54:D54"/>
    <mergeCell ref="A55:A61"/>
    <mergeCell ref="B55:C55"/>
    <mergeCell ref="A41:A47"/>
    <mergeCell ref="B41:C41"/>
    <mergeCell ref="B42:C42"/>
    <mergeCell ref="B43:C43"/>
    <mergeCell ref="B44:C44"/>
    <mergeCell ref="B45:C45"/>
    <mergeCell ref="B47:D47"/>
    <mergeCell ref="A62:A68"/>
    <mergeCell ref="B62:C62"/>
    <mergeCell ref="B63:C63"/>
    <mergeCell ref="B64:C64"/>
    <mergeCell ref="B65:C65"/>
    <mergeCell ref="B66:C66"/>
    <mergeCell ref="B68:D68"/>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8:C28"/>
    <mergeCell ref="B29:C29"/>
    <mergeCell ref="B30:C30"/>
    <mergeCell ref="B31:C31"/>
    <mergeCell ref="B33:D33"/>
    <mergeCell ref="A34:A40"/>
    <mergeCell ref="B34:C34"/>
  </mergeCells>
  <conditionalFormatting sqref="D6:D11 D20:D22 D24:D25 D27">
    <cfRule type="containsText" dxfId="45" priority="24" operator="containsText" text="En cours">
      <formula>NOT(ISERROR(SEARCH("En cours",D6)))</formula>
    </cfRule>
  </conditionalFormatting>
  <conditionalFormatting sqref="D13:D18">
    <cfRule type="containsText" dxfId="44" priority="21" operator="containsText" text="Terminé">
      <formula>NOT(ISERROR(SEARCH("Terminé",D13)))</formula>
    </cfRule>
    <cfRule type="containsText" dxfId="43" priority="22" operator="containsText" text="En cours">
      <formula>NOT(ISERROR(SEARCH("En cours",D13)))</formula>
    </cfRule>
  </conditionalFormatting>
  <conditionalFormatting sqref="D27 D6:D11 D20:D22 D24:D25">
    <cfRule type="containsText" dxfId="42" priority="23" operator="containsText" text="Terminé">
      <formula>NOT(ISERROR(SEARCH("Terminé",D6)))</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8" t="s">
        <v>17</v>
      </c>
      <c r="B1" s="28"/>
      <c r="C1" s="28"/>
      <c r="D1" s="28"/>
    </row>
    <row r="2" spans="1:4" ht="18" x14ac:dyDescent="0.25">
      <c r="A2" s="35" t="s">
        <v>18</v>
      </c>
      <c r="B2" s="35"/>
      <c r="C2" s="36"/>
      <c r="D2" s="4" t="s">
        <v>19</v>
      </c>
    </row>
    <row r="4" spans="1:4" ht="12" customHeight="1" x14ac:dyDescent="0.2">
      <c r="A4" s="29" t="s">
        <v>2</v>
      </c>
      <c r="B4" s="29" t="s">
        <v>3</v>
      </c>
      <c r="C4" s="30"/>
      <c r="D4" s="5" t="s">
        <v>4</v>
      </c>
    </row>
    <row r="5" spans="1:4" ht="13.5" thickBot="1" x14ac:dyDescent="0.25">
      <c r="A5" s="31"/>
      <c r="B5" s="31"/>
      <c r="C5" s="32"/>
      <c r="D5" s="6" t="s">
        <v>5</v>
      </c>
    </row>
    <row r="6" spans="1:4" ht="12.75" customHeight="1" x14ac:dyDescent="0.2">
      <c r="A6" s="37"/>
      <c r="B6" s="33"/>
      <c r="C6" s="34"/>
      <c r="D6" s="7"/>
    </row>
    <row r="7" spans="1:4" x14ac:dyDescent="0.2">
      <c r="A7" s="15"/>
      <c r="B7" s="18"/>
      <c r="C7" s="19"/>
      <c r="D7" s="8"/>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8</v>
      </c>
      <c r="C11" s="3" t="s">
        <v>9</v>
      </c>
      <c r="D11" s="9">
        <f>SUM(D6:D10)</f>
        <v>0</v>
      </c>
    </row>
    <row r="12" spans="1:4" ht="24.95" customHeight="1" x14ac:dyDescent="0.2">
      <c r="A12" s="15"/>
      <c r="B12" s="20"/>
      <c r="C12" s="21"/>
      <c r="D12" s="22"/>
    </row>
    <row r="13" spans="1:4" ht="12.75" customHeight="1" x14ac:dyDescent="0.2">
      <c r="A13" s="14"/>
      <c r="B13" s="16"/>
      <c r="C13" s="17"/>
      <c r="D13" s="7"/>
    </row>
    <row r="14" spans="1:4" x14ac:dyDescent="0.2">
      <c r="A14" s="15"/>
      <c r="B14" s="18"/>
      <c r="C14" s="19"/>
      <c r="D14" s="8"/>
    </row>
    <row r="15" spans="1:4" x14ac:dyDescent="0.2">
      <c r="A15" s="15"/>
      <c r="B15" s="18"/>
      <c r="C15" s="19"/>
      <c r="D15" s="8"/>
    </row>
    <row r="16" spans="1:4" x14ac:dyDescent="0.2">
      <c r="A16" s="15"/>
      <c r="B16" s="18"/>
      <c r="C16" s="19"/>
      <c r="D16" s="8"/>
    </row>
    <row r="17" spans="1:4" x14ac:dyDescent="0.2">
      <c r="A17" s="15"/>
      <c r="B17" s="18"/>
      <c r="C17" s="19"/>
      <c r="D17" s="8"/>
    </row>
    <row r="18" spans="1:4" x14ac:dyDescent="0.2">
      <c r="A18" s="15"/>
      <c r="B18" s="2" t="s">
        <v>8</v>
      </c>
      <c r="C18" s="3" t="s">
        <v>9</v>
      </c>
      <c r="D18" s="9">
        <f>SUM(D13:D17)</f>
        <v>0</v>
      </c>
    </row>
    <row r="19" spans="1:4" ht="24.95" customHeight="1" x14ac:dyDescent="0.2">
      <c r="A19" s="15"/>
      <c r="B19" s="20"/>
      <c r="C19" s="21"/>
      <c r="D19" s="22"/>
    </row>
    <row r="20" spans="1:4" ht="12.75" customHeight="1" x14ac:dyDescent="0.2">
      <c r="A20" s="14"/>
      <c r="B20" s="16"/>
      <c r="C20" s="17"/>
      <c r="D20" s="7"/>
    </row>
    <row r="21" spans="1:4" x14ac:dyDescent="0.2">
      <c r="A21" s="15"/>
      <c r="B21" s="18"/>
      <c r="C21" s="19"/>
      <c r="D21" s="8"/>
    </row>
    <row r="22" spans="1:4" x14ac:dyDescent="0.2">
      <c r="A22" s="15"/>
      <c r="B22" s="18"/>
      <c r="C22" s="19"/>
      <c r="D22" s="8"/>
    </row>
    <row r="23" spans="1:4" x14ac:dyDescent="0.2">
      <c r="A23" s="15"/>
      <c r="B23" s="18"/>
      <c r="C23" s="19"/>
      <c r="D23" s="8"/>
    </row>
    <row r="24" spans="1:4" x14ac:dyDescent="0.2">
      <c r="A24" s="15"/>
      <c r="B24" s="18"/>
      <c r="C24" s="19"/>
      <c r="D24" s="8"/>
    </row>
    <row r="25" spans="1:4" x14ac:dyDescent="0.2">
      <c r="A25" s="15"/>
      <c r="B25" s="2" t="s">
        <v>8</v>
      </c>
      <c r="C25" s="3" t="s">
        <v>9</v>
      </c>
      <c r="D25" s="9">
        <f>SUM(D20:D24)</f>
        <v>0</v>
      </c>
    </row>
    <row r="26" spans="1:4" ht="24.95" customHeight="1" x14ac:dyDescent="0.2">
      <c r="A26" s="15"/>
      <c r="B26" s="20"/>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8</v>
      </c>
      <c r="C32" s="3" t="s">
        <v>9</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8</v>
      </c>
      <c r="C39" s="3" t="s">
        <v>9</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8</v>
      </c>
      <c r="C46" s="3" t="s">
        <v>9</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8</v>
      </c>
      <c r="C53" s="3" t="s">
        <v>9</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8</v>
      </c>
      <c r="C60" s="3" t="s">
        <v>9</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8</v>
      </c>
      <c r="C67" s="3" t="s">
        <v>9</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8</v>
      </c>
      <c r="C74" s="3" t="s">
        <v>9</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8</v>
      </c>
      <c r="C81" s="3" t="s">
        <v>9</v>
      </c>
      <c r="D81" s="9">
        <f>SUM(D76:D80)</f>
        <v>0</v>
      </c>
    </row>
    <row r="82" spans="1:4" ht="24.95" customHeight="1" x14ac:dyDescent="0.2">
      <c r="A82" s="23"/>
      <c r="B82" s="24"/>
      <c r="C82" s="25"/>
      <c r="D82" s="26"/>
    </row>
    <row r="83" spans="1:4" ht="12" customHeight="1" x14ac:dyDescent="0.2">
      <c r="A83" s="11"/>
      <c r="B83" s="10"/>
      <c r="C83" s="3" t="s">
        <v>15</v>
      </c>
      <c r="D83" s="12">
        <f>D11+D18+D25+D32+D39+D46+D53+D60+D67+D74+D81</f>
        <v>0</v>
      </c>
    </row>
    <row r="84" spans="1:4" x14ac:dyDescent="0.2">
      <c r="A84" s="13" t="s">
        <v>16</v>
      </c>
      <c r="B84" s="13"/>
      <c r="C84" s="13"/>
      <c r="D84" s="13"/>
    </row>
  </sheetData>
  <mergeCells count="82">
    <mergeCell ref="A1:D1"/>
    <mergeCell ref="A2:C2"/>
    <mergeCell ref="A4:A5"/>
    <mergeCell ref="B4:C5"/>
    <mergeCell ref="A6:A12"/>
    <mergeCell ref="B6:C6"/>
    <mergeCell ref="B7:C7"/>
    <mergeCell ref="B8:C8"/>
    <mergeCell ref="B9:C9"/>
    <mergeCell ref="B10:C10"/>
    <mergeCell ref="B12:D12"/>
    <mergeCell ref="A13:A19"/>
    <mergeCell ref="B13:C13"/>
    <mergeCell ref="B14:C14"/>
    <mergeCell ref="B15:C15"/>
    <mergeCell ref="B16:C16"/>
    <mergeCell ref="B17:C17"/>
    <mergeCell ref="B19:D19"/>
    <mergeCell ref="A20:A26"/>
    <mergeCell ref="B20:C20"/>
    <mergeCell ref="B21:C21"/>
    <mergeCell ref="B22:C22"/>
    <mergeCell ref="B23:C23"/>
    <mergeCell ref="B24:C24"/>
    <mergeCell ref="B26:D26"/>
    <mergeCell ref="A27:A33"/>
    <mergeCell ref="B27:C27"/>
    <mergeCell ref="B28:C28"/>
    <mergeCell ref="B29:C29"/>
    <mergeCell ref="B30:C30"/>
    <mergeCell ref="B31:C31"/>
    <mergeCell ref="B33:D33"/>
    <mergeCell ref="A34:A40"/>
    <mergeCell ref="B34:C34"/>
    <mergeCell ref="B35:C35"/>
    <mergeCell ref="B36:C36"/>
    <mergeCell ref="B37:C37"/>
    <mergeCell ref="B38:C38"/>
    <mergeCell ref="B40:D40"/>
    <mergeCell ref="A41:A47"/>
    <mergeCell ref="B41:C41"/>
    <mergeCell ref="B42:C42"/>
    <mergeCell ref="B43:C43"/>
    <mergeCell ref="B44:C44"/>
    <mergeCell ref="B45:C45"/>
    <mergeCell ref="B47:D47"/>
    <mergeCell ref="A48:A54"/>
    <mergeCell ref="B48:C48"/>
    <mergeCell ref="B49:C49"/>
    <mergeCell ref="B50:C50"/>
    <mergeCell ref="B51:C51"/>
    <mergeCell ref="B52:C52"/>
    <mergeCell ref="B54:D54"/>
    <mergeCell ref="A55:A61"/>
    <mergeCell ref="B55:C55"/>
    <mergeCell ref="B56:C56"/>
    <mergeCell ref="B57:C57"/>
    <mergeCell ref="B58:C58"/>
    <mergeCell ref="B59:C59"/>
    <mergeCell ref="B61:D61"/>
    <mergeCell ref="A62:A68"/>
    <mergeCell ref="B62:C62"/>
    <mergeCell ref="B63:C63"/>
    <mergeCell ref="B64:C64"/>
    <mergeCell ref="B65:C65"/>
    <mergeCell ref="B66:C66"/>
    <mergeCell ref="B68:D68"/>
    <mergeCell ref="A69:A75"/>
    <mergeCell ref="B69:C69"/>
    <mergeCell ref="B70:C70"/>
    <mergeCell ref="B71:C71"/>
    <mergeCell ref="B72:C72"/>
    <mergeCell ref="B73:C73"/>
    <mergeCell ref="B75:D75"/>
    <mergeCell ref="A84:D84"/>
    <mergeCell ref="A76:A82"/>
    <mergeCell ref="B76:C76"/>
    <mergeCell ref="B77:C77"/>
    <mergeCell ref="B78:C78"/>
    <mergeCell ref="B79:C79"/>
    <mergeCell ref="B80:C80"/>
    <mergeCell ref="B82:D8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vt:i4>
      </vt:variant>
      <vt:variant>
        <vt:lpstr>Plages nommées</vt:lpstr>
      </vt:variant>
      <vt:variant>
        <vt:i4>4</vt:i4>
      </vt:variant>
    </vt:vector>
  </HeadingPairs>
  <TitlesOfParts>
    <vt:vector size="6" baseType="lpstr">
      <vt:lpstr>Journal_DEILLON_JONAS</vt:lpstr>
      <vt:lpstr>Journal_NOM_PRENOM4</vt:lpstr>
      <vt:lpstr>Journal_DEILLON_JONAS!Impression_des_titres</vt:lpstr>
      <vt:lpstr>Journal_NOM_PRENOM4!Impression_des_titres</vt:lpstr>
      <vt:lpstr>Journal_DEILLON_JONAS!Zone_d_impression</vt:lpstr>
      <vt:lpstr>Journal_NOM_PRENOM4!Zone_d_impression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Deillon Jonas</cp:lastModifiedBy>
  <cp:revision/>
  <dcterms:created xsi:type="dcterms:W3CDTF">2002-03-11T12:50:08Z</dcterms:created>
  <dcterms:modified xsi:type="dcterms:W3CDTF">2026-01-16T07:46:29Z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