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heckCompatibility="1"/>
  <mc:AlternateContent xmlns:mc="http://schemas.openxmlformats.org/markup-compatibility/2006">
    <mc:Choice Requires="x15">
      <x15ac:absPath xmlns:x15ac="http://schemas.microsoft.com/office/spreadsheetml/2010/11/ac" url="https://eduetatfr-my.sharepoint.com/personal/matias_barras_studentfr_ch/Documents/Dossier de formation/5-Modules/Développement/Module-306/306-G2-ArcadiaBox/documentation/"/>
    </mc:Choice>
  </mc:AlternateContent>
  <xr:revisionPtr revIDLastSave="144" documentId="13_ncr:1_{C68E2980-A969-4E78-98D4-6A7237E3E30A}" xr6:coauthVersionLast="47" xr6:coauthVersionMax="47" xr10:uidLastSave="{FDA90DA8-AC6E-47D9-87FF-82CA1652676A}"/>
  <bookViews>
    <workbookView xWindow="3105" yWindow="1860" windowWidth="21600" windowHeight="11295" xr2:uid="{00000000-000D-0000-FFFF-FFFF00000000}"/>
  </bookViews>
  <sheets>
    <sheet name="Journal_Barras_Matias" sheetId="10" r:id="rId1"/>
  </sheets>
  <definedNames>
    <definedName name="_xlnm._FilterDatabase" localSheetId="0" hidden="1">Journal_Barras_Matias!$A$5:$HI$5</definedName>
    <definedName name="_xlnm.Print_Titles" localSheetId="0">Journal_Barras_Matias!$B:$D,Journal_Barras_Matias!$1:$5</definedName>
    <definedName name="_xlnm.Print_Area" localSheetId="0">Journal_Barras_Matias!$A$1:$D$85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0" l="1"/>
  <c r="D83" i="10"/>
  <c r="D76" i="10"/>
  <c r="D69" i="10"/>
  <c r="D62" i="10"/>
  <c r="D55" i="10"/>
  <c r="D48" i="10"/>
  <c r="D41" i="10"/>
  <c r="D34" i="10"/>
  <c r="D27" i="10"/>
  <c r="D11" i="10"/>
  <c r="D85" i="10" l="1"/>
</calcChain>
</file>

<file path=xl/sharedStrings.xml><?xml version="1.0" encoding="utf-8"?>
<sst xmlns="http://schemas.openxmlformats.org/spreadsheetml/2006/main" count="57" uniqueCount="36">
  <si>
    <r>
      <t xml:space="preserve">Projet : </t>
    </r>
    <r>
      <rPr>
        <b/>
        <sz val="14"/>
        <rFont val="Arial"/>
        <family val="2"/>
      </rPr>
      <t>Arcadia</t>
    </r>
    <r>
      <rPr>
        <sz val="14"/>
        <rFont val="Arial"/>
        <family val="2"/>
      </rPr>
      <t xml:space="preserve">   </t>
    </r>
    <r>
      <rPr>
        <sz val="16"/>
        <rFont val="Arial"/>
        <family val="2"/>
      </rPr>
      <t xml:space="preserve">                      </t>
    </r>
  </si>
  <si>
    <t>Barras Matias</t>
  </si>
  <si>
    <t>[no candidat]</t>
  </si>
  <si>
    <t>Date</t>
  </si>
  <si>
    <t>Travail effectué</t>
  </si>
  <si>
    <t>Temps</t>
  </si>
  <si>
    <t>[H.h]</t>
  </si>
  <si>
    <t>Documentation BusinessCase</t>
  </si>
  <si>
    <t>Documentation CahierDesCharges</t>
  </si>
  <si>
    <t>Discution client</t>
  </si>
  <si>
    <r>
      <t xml:space="preserve">Réflexion personnelle </t>
    </r>
    <r>
      <rPr>
        <sz val="8"/>
        <rFont val="Calibri"/>
        <family val="2"/>
      </rPr>
      <t>↓↓↓</t>
    </r>
  </si>
  <si>
    <t>Total &gt;</t>
  </si>
  <si>
    <t>Cette après-midi c'est bien passé mais faire de la documentation reste moin motivant que codée.</t>
  </si>
  <si>
    <t>Création du planning</t>
  </si>
  <si>
    <t>Création du kanban</t>
  </si>
  <si>
    <t>Kick off</t>
  </si>
  <si>
    <t>Préparations des tâches du sprint (quoi faire, combien de temps)</t>
  </si>
  <si>
    <t>Début de la création de la structures de fichers</t>
  </si>
  <si>
    <t>Documentation sur les outils utillisé</t>
  </si>
  <si>
    <t>Documentation de Projet et shémas de la databse</t>
  </si>
  <si>
    <t>Cette journée a été riche en documentation nous avons du décider quoi faire et comment et comprendre comment utilliser les outils que nous avons trouvé.</t>
  </si>
  <si>
    <t>Total général &gt;</t>
  </si>
  <si>
    <t>Insérer les lignes au-dessus de celle-ci !</t>
  </si>
  <si>
    <t>Création du scripte pour extraire le texte et teste d'autres solution (écheque)</t>
  </si>
  <si>
    <t>Création des dockerfiles ajout dans le docker compose et créations des routes du backend</t>
  </si>
  <si>
    <t>Documentation (maquette et shémas)</t>
  </si>
  <si>
    <t>Cette journée a été éprouvante je n'ai trouver aucune solution fonctionnelle mais a par cela le backend a été terminer ce qui ma remotivé.</t>
  </si>
  <si>
    <t>Ce sprint a été très dure un début avec beaucoup de tests non concluant ce qui n'était pas très motivant cela été emplifier du fait que j'était malade mais une fois la solution trouvé j'ai pu m'attaquer a la documentation ce qui était beaucoup plus tranquille.</t>
  </si>
  <si>
    <t>Création du petit jeux</t>
  </si>
  <si>
    <t>J'ai du trouver quoi faire et faire un petit jeux en html css js ceci était plutôt simpatique.</t>
  </si>
  <si>
    <t>Finition du petit jeux avec intégration de la mannette et backend</t>
  </si>
  <si>
    <t>Documentation et Websumary</t>
  </si>
  <si>
    <t>J'ai trouvé cette journé productive et sympatique a faire malgré la documentation le fait de voir de l'avancement sur nos problèmes principaux a été très motivant.</t>
  </si>
  <si>
    <t>Présentation</t>
  </si>
  <si>
    <t>Websummary</t>
  </si>
  <si>
    <t>Cette journée ma permis d'avancer sur la documentation pendant que mes collégue términais et améliorait le code existant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</si>
</sst>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3" fillId="2" borderId="0" xfId="0" applyFont="1" applyFill="1" applyAlignment="1" applyProtection="1">
      <alignment horizontal="center"/>
      <protection locked="0"/>
    </xf>
    <xf numFmtId="164" fontId="0" fillId="0" borderId="7"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164" fontId="0" fillId="0" borderId="2"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0" borderId="11" xfId="0" applyFont="1" applyBorder="1" applyAlignment="1" applyProtection="1">
      <alignment horizontal="left" vertical="center" wrapText="1"/>
      <protection locked="0"/>
    </xf>
    <xf numFmtId="0" fontId="4" fillId="0" borderId="6" xfId="0" applyFont="1" applyBorder="1" applyAlignment="1" applyProtection="1">
      <alignment horizontal="left" vertical="center" wrapText="1"/>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cellXfs>
  <cellStyles count="1">
    <cellStyle name="Normal"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F0F3-3EF4-4217-9640-9C9A8BC6D0F3}">
  <dimension ref="A1:D86"/>
  <sheetViews>
    <sheetView tabSelected="1" topLeftCell="A14" zoomScale="115" zoomScaleNormal="115" zoomScaleSheetLayoutView="115" workbookViewId="0">
      <pane ySplit="1" topLeftCell="A46" activePane="bottomLeft"/>
      <selection activeCell="A5" sqref="A5:XFD5"/>
      <selection pane="bottomLeft" activeCell="B53" sqref="B53:C53"/>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29" t="s">
        <v>0</v>
      </c>
      <c r="B1" s="29"/>
      <c r="C1" s="29"/>
      <c r="D1" s="29"/>
    </row>
    <row r="2" spans="1:4" ht="18" x14ac:dyDescent="0.25">
      <c r="A2" s="30" t="s">
        <v>1</v>
      </c>
      <c r="B2" s="30"/>
      <c r="C2" s="31"/>
      <c r="D2" s="4" t="s">
        <v>2</v>
      </c>
    </row>
    <row r="4" spans="1:4" ht="12" customHeight="1" x14ac:dyDescent="0.2">
      <c r="A4" s="32" t="s">
        <v>3</v>
      </c>
      <c r="B4" s="32" t="s">
        <v>4</v>
      </c>
      <c r="C4" s="34"/>
      <c r="D4" s="5" t="s">
        <v>5</v>
      </c>
    </row>
    <row r="5" spans="1:4" ht="13.5" thickBot="1" x14ac:dyDescent="0.25">
      <c r="A5" s="33"/>
      <c r="B5" s="33"/>
      <c r="C5" s="35"/>
      <c r="D5" s="6" t="s">
        <v>6</v>
      </c>
    </row>
    <row r="6" spans="1:4" ht="12.75" customHeight="1" x14ac:dyDescent="0.2">
      <c r="A6" s="36">
        <v>45996</v>
      </c>
      <c r="B6" s="37" t="s">
        <v>7</v>
      </c>
      <c r="C6" s="38"/>
      <c r="D6" s="7">
        <v>1.8</v>
      </c>
    </row>
    <row r="7" spans="1:4" x14ac:dyDescent="0.2">
      <c r="A7" s="15"/>
      <c r="B7" s="19" t="s">
        <v>8</v>
      </c>
      <c r="C7" s="20"/>
      <c r="D7" s="8">
        <v>1.5</v>
      </c>
    </row>
    <row r="8" spans="1:4" x14ac:dyDescent="0.2">
      <c r="A8" s="15"/>
      <c r="B8" s="19" t="s">
        <v>9</v>
      </c>
      <c r="C8" s="20"/>
      <c r="D8" s="8">
        <v>0.15</v>
      </c>
    </row>
    <row r="9" spans="1:4" x14ac:dyDescent="0.2">
      <c r="A9" s="15"/>
      <c r="B9" s="19"/>
      <c r="C9" s="20"/>
      <c r="D9" s="8"/>
    </row>
    <row r="10" spans="1:4" x14ac:dyDescent="0.2">
      <c r="A10" s="15"/>
      <c r="B10" s="19"/>
      <c r="C10" s="20"/>
      <c r="D10" s="8"/>
    </row>
    <row r="11" spans="1:4" x14ac:dyDescent="0.2">
      <c r="A11" s="15"/>
      <c r="B11" s="2" t="s">
        <v>10</v>
      </c>
      <c r="C11" s="3" t="s">
        <v>11</v>
      </c>
      <c r="D11" s="9">
        <f>SUM(D6:D10)</f>
        <v>3.4499999999999997</v>
      </c>
    </row>
    <row r="12" spans="1:4" ht="24.95" customHeight="1" x14ac:dyDescent="0.2">
      <c r="A12" s="15"/>
      <c r="B12" s="24" t="s">
        <v>12</v>
      </c>
      <c r="C12" s="25"/>
      <c r="D12" s="26"/>
    </row>
    <row r="13" spans="1:4" ht="12.75" customHeight="1" x14ac:dyDescent="0.2">
      <c r="A13" s="14">
        <v>46003</v>
      </c>
      <c r="B13" s="17" t="s">
        <v>13</v>
      </c>
      <c r="C13" s="18"/>
      <c r="D13" s="7">
        <v>1</v>
      </c>
    </row>
    <row r="14" spans="1:4" x14ac:dyDescent="0.2">
      <c r="A14" s="15"/>
      <c r="B14" s="19" t="s">
        <v>14</v>
      </c>
      <c r="C14" s="20"/>
      <c r="D14" s="8">
        <v>1</v>
      </c>
    </row>
    <row r="15" spans="1:4" x14ac:dyDescent="0.2">
      <c r="A15" s="15"/>
      <c r="B15" s="19" t="s">
        <v>15</v>
      </c>
      <c r="C15" s="20"/>
      <c r="D15" s="8">
        <v>0.5</v>
      </c>
    </row>
    <row r="16" spans="1:4" x14ac:dyDescent="0.2">
      <c r="A16" s="15"/>
      <c r="B16" s="19" t="s">
        <v>16</v>
      </c>
      <c r="C16" s="20"/>
      <c r="D16" s="8">
        <v>1</v>
      </c>
    </row>
    <row r="17" spans="1:4" x14ac:dyDescent="0.2">
      <c r="A17" s="15"/>
      <c r="B17" s="19" t="s">
        <v>17</v>
      </c>
      <c r="C17" s="20"/>
      <c r="D17" s="8">
        <v>0.25</v>
      </c>
    </row>
    <row r="18" spans="1:4" x14ac:dyDescent="0.2">
      <c r="A18" s="15"/>
      <c r="B18" s="27" t="s">
        <v>18</v>
      </c>
      <c r="C18" s="28"/>
      <c r="D18" s="8">
        <v>1</v>
      </c>
    </row>
    <row r="19" spans="1:4" x14ac:dyDescent="0.2">
      <c r="A19" s="15"/>
      <c r="B19" s="19" t="s">
        <v>19</v>
      </c>
      <c r="C19" s="20"/>
      <c r="D19" s="8">
        <v>3.2</v>
      </c>
    </row>
    <row r="20" spans="1:4" x14ac:dyDescent="0.2">
      <c r="A20" s="15"/>
      <c r="B20" s="2" t="s">
        <v>10</v>
      </c>
      <c r="C20" s="3" t="s">
        <v>11</v>
      </c>
      <c r="D20" s="9">
        <f>SUM(D13:D19)</f>
        <v>7.95</v>
      </c>
    </row>
    <row r="21" spans="1:4" ht="24.95" customHeight="1" x14ac:dyDescent="0.2">
      <c r="A21" s="15"/>
      <c r="B21" s="24" t="s">
        <v>20</v>
      </c>
      <c r="C21" s="25"/>
      <c r="D21" s="26"/>
    </row>
    <row r="22" spans="1:4" ht="12.75" customHeight="1" x14ac:dyDescent="0.2">
      <c r="A22" s="14">
        <v>46009</v>
      </c>
      <c r="B22" s="17" t="s">
        <v>23</v>
      </c>
      <c r="C22" s="18"/>
      <c r="D22" s="7">
        <v>6</v>
      </c>
    </row>
    <row r="23" spans="1:4" x14ac:dyDescent="0.2">
      <c r="A23" s="15"/>
      <c r="B23" s="19" t="s">
        <v>24</v>
      </c>
      <c r="C23" s="20"/>
      <c r="D23" s="8">
        <v>2</v>
      </c>
    </row>
    <row r="24" spans="1:4" x14ac:dyDescent="0.2">
      <c r="A24" s="15"/>
      <c r="B24" s="19"/>
      <c r="C24" s="20"/>
      <c r="D24" s="8"/>
    </row>
    <row r="25" spans="1:4" x14ac:dyDescent="0.2">
      <c r="A25" s="15"/>
      <c r="B25" s="19"/>
      <c r="C25" s="20"/>
      <c r="D25" s="8"/>
    </row>
    <row r="26" spans="1:4" x14ac:dyDescent="0.2">
      <c r="A26" s="15"/>
      <c r="B26" s="19"/>
      <c r="C26" s="20"/>
      <c r="D26" s="8"/>
    </row>
    <row r="27" spans="1:4" x14ac:dyDescent="0.2">
      <c r="A27" s="15"/>
      <c r="B27" s="2" t="s">
        <v>10</v>
      </c>
      <c r="C27" s="3" t="s">
        <v>11</v>
      </c>
      <c r="D27" s="9">
        <f>SUM(D22:D26)</f>
        <v>8</v>
      </c>
    </row>
    <row r="28" spans="1:4" ht="24.95" customHeight="1" x14ac:dyDescent="0.2">
      <c r="A28" s="15"/>
      <c r="B28" s="24" t="s">
        <v>26</v>
      </c>
      <c r="C28" s="25"/>
      <c r="D28" s="26"/>
    </row>
    <row r="29" spans="1:4" ht="12.75" customHeight="1" x14ac:dyDescent="0.2">
      <c r="A29" s="14">
        <v>46009</v>
      </c>
      <c r="B29" s="17" t="s">
        <v>23</v>
      </c>
      <c r="C29" s="18"/>
      <c r="D29" s="7">
        <v>4</v>
      </c>
    </row>
    <row r="30" spans="1:4" x14ac:dyDescent="0.2">
      <c r="A30" s="15"/>
      <c r="B30" s="19" t="s">
        <v>25</v>
      </c>
      <c r="C30" s="20"/>
      <c r="D30" s="8">
        <v>4</v>
      </c>
    </row>
    <row r="31" spans="1:4" x14ac:dyDescent="0.2">
      <c r="A31" s="15"/>
      <c r="B31" s="19"/>
      <c r="C31" s="20"/>
      <c r="D31" s="8"/>
    </row>
    <row r="32" spans="1:4" x14ac:dyDescent="0.2">
      <c r="A32" s="15"/>
      <c r="B32" s="19"/>
      <c r="C32" s="20"/>
      <c r="D32" s="8"/>
    </row>
    <row r="33" spans="1:4" x14ac:dyDescent="0.2">
      <c r="A33" s="15"/>
      <c r="B33" s="19"/>
      <c r="C33" s="20"/>
      <c r="D33" s="8"/>
    </row>
    <row r="34" spans="1:4" x14ac:dyDescent="0.2">
      <c r="A34" s="15"/>
      <c r="B34" s="2" t="s">
        <v>10</v>
      </c>
      <c r="C34" s="3" t="s">
        <v>11</v>
      </c>
      <c r="D34" s="9">
        <f>SUM(D29:D33)</f>
        <v>8</v>
      </c>
    </row>
    <row r="35" spans="1:4" ht="24.95" customHeight="1" x14ac:dyDescent="0.2">
      <c r="A35" s="16"/>
      <c r="B35" s="21" t="s">
        <v>27</v>
      </c>
      <c r="C35" s="22"/>
      <c r="D35" s="23"/>
    </row>
    <row r="36" spans="1:4" ht="12.75" customHeight="1" x14ac:dyDescent="0.2">
      <c r="A36" s="14">
        <v>46031</v>
      </c>
      <c r="B36" s="17" t="s">
        <v>28</v>
      </c>
      <c r="C36" s="18"/>
      <c r="D36" s="7">
        <v>4</v>
      </c>
    </row>
    <row r="37" spans="1:4" x14ac:dyDescent="0.2">
      <c r="A37" s="15"/>
      <c r="B37" s="19"/>
      <c r="C37" s="20"/>
      <c r="D37" s="8"/>
    </row>
    <row r="38" spans="1:4" x14ac:dyDescent="0.2">
      <c r="A38" s="15"/>
      <c r="B38" s="19"/>
      <c r="C38" s="20"/>
      <c r="D38" s="8"/>
    </row>
    <row r="39" spans="1:4" x14ac:dyDescent="0.2">
      <c r="A39" s="15"/>
      <c r="B39" s="19"/>
      <c r="C39" s="20"/>
      <c r="D39" s="8"/>
    </row>
    <row r="40" spans="1:4" x14ac:dyDescent="0.2">
      <c r="A40" s="15"/>
      <c r="B40" s="19"/>
      <c r="C40" s="20"/>
      <c r="D40" s="8"/>
    </row>
    <row r="41" spans="1:4" x14ac:dyDescent="0.2">
      <c r="A41" s="15"/>
      <c r="B41" s="2" t="s">
        <v>10</v>
      </c>
      <c r="C41" s="3" t="s">
        <v>11</v>
      </c>
      <c r="D41" s="9">
        <f>SUM(D36:D40)</f>
        <v>4</v>
      </c>
    </row>
    <row r="42" spans="1:4" ht="24.95" customHeight="1" x14ac:dyDescent="0.2">
      <c r="A42" s="16"/>
      <c r="B42" s="21" t="s">
        <v>29</v>
      </c>
      <c r="C42" s="22"/>
      <c r="D42" s="23"/>
    </row>
    <row r="43" spans="1:4" ht="12.75" customHeight="1" x14ac:dyDescent="0.2">
      <c r="A43" s="14">
        <v>46032</v>
      </c>
      <c r="B43" s="17" t="s">
        <v>30</v>
      </c>
      <c r="C43" s="18"/>
      <c r="D43" s="7">
        <v>4</v>
      </c>
    </row>
    <row r="44" spans="1:4" x14ac:dyDescent="0.2">
      <c r="A44" s="15"/>
      <c r="B44" s="19" t="s">
        <v>31</v>
      </c>
      <c r="C44" s="20"/>
      <c r="D44" s="8">
        <v>4</v>
      </c>
    </row>
    <row r="45" spans="1:4" x14ac:dyDescent="0.2">
      <c r="A45" s="15"/>
      <c r="B45" s="19"/>
      <c r="C45" s="20"/>
      <c r="D45" s="8"/>
    </row>
    <row r="46" spans="1:4" x14ac:dyDescent="0.2">
      <c r="A46" s="15"/>
      <c r="B46" s="19"/>
      <c r="C46" s="20"/>
      <c r="D46" s="8"/>
    </row>
    <row r="47" spans="1:4" x14ac:dyDescent="0.2">
      <c r="A47" s="15"/>
      <c r="B47" s="19"/>
      <c r="C47" s="20"/>
      <c r="D47" s="8"/>
    </row>
    <row r="48" spans="1:4" x14ac:dyDescent="0.2">
      <c r="A48" s="15"/>
      <c r="B48" s="2" t="s">
        <v>10</v>
      </c>
      <c r="C48" s="3" t="s">
        <v>11</v>
      </c>
      <c r="D48" s="9">
        <f>SUM(D43:D47)</f>
        <v>8</v>
      </c>
    </row>
    <row r="49" spans="1:4" ht="24.95" customHeight="1" x14ac:dyDescent="0.2">
      <c r="A49" s="16"/>
      <c r="B49" s="21" t="s">
        <v>32</v>
      </c>
      <c r="C49" s="22"/>
      <c r="D49" s="23"/>
    </row>
    <row r="50" spans="1:4" ht="12.75" customHeight="1" x14ac:dyDescent="0.2">
      <c r="A50" s="14">
        <v>46037</v>
      </c>
      <c r="B50" s="17" t="s">
        <v>33</v>
      </c>
      <c r="C50" s="18"/>
      <c r="D50" s="7">
        <v>2</v>
      </c>
    </row>
    <row r="51" spans="1:4" x14ac:dyDescent="0.2">
      <c r="A51" s="15"/>
      <c r="B51" s="19" t="s">
        <v>34</v>
      </c>
      <c r="C51" s="20"/>
      <c r="D51" s="8">
        <v>2</v>
      </c>
    </row>
    <row r="52" spans="1:4" x14ac:dyDescent="0.2">
      <c r="A52" s="15"/>
      <c r="B52" s="19"/>
      <c r="C52" s="20"/>
      <c r="D52" s="8"/>
    </row>
    <row r="53" spans="1:4" x14ac:dyDescent="0.2">
      <c r="A53" s="15"/>
      <c r="B53" s="19"/>
      <c r="C53" s="20"/>
      <c r="D53" s="8"/>
    </row>
    <row r="54" spans="1:4" x14ac:dyDescent="0.2">
      <c r="A54" s="15"/>
      <c r="B54" s="19"/>
      <c r="C54" s="20"/>
      <c r="D54" s="8"/>
    </row>
    <row r="55" spans="1:4" x14ac:dyDescent="0.2">
      <c r="A55" s="15"/>
      <c r="B55" s="2" t="s">
        <v>10</v>
      </c>
      <c r="C55" s="3" t="s">
        <v>11</v>
      </c>
      <c r="D55" s="9">
        <f>SUM(D50:D54)</f>
        <v>4</v>
      </c>
    </row>
    <row r="56" spans="1:4" ht="24.95" customHeight="1" x14ac:dyDescent="0.2">
      <c r="A56" s="16"/>
      <c r="B56" s="21" t="s">
        <v>35</v>
      </c>
      <c r="C56" s="22"/>
      <c r="D56" s="23"/>
    </row>
    <row r="57" spans="1:4" ht="12.75" customHeight="1" x14ac:dyDescent="0.2">
      <c r="A57" s="14"/>
      <c r="B57" s="17"/>
      <c r="C57" s="18"/>
      <c r="D57" s="7"/>
    </row>
    <row r="58" spans="1:4" x14ac:dyDescent="0.2">
      <c r="A58" s="15"/>
      <c r="B58" s="19"/>
      <c r="C58" s="20"/>
      <c r="D58" s="8"/>
    </row>
    <row r="59" spans="1:4" x14ac:dyDescent="0.2">
      <c r="A59" s="15"/>
      <c r="B59" s="19"/>
      <c r="C59" s="20"/>
      <c r="D59" s="8"/>
    </row>
    <row r="60" spans="1:4" x14ac:dyDescent="0.2">
      <c r="A60" s="15"/>
      <c r="B60" s="19"/>
      <c r="C60" s="20"/>
      <c r="D60" s="8"/>
    </row>
    <row r="61" spans="1:4" x14ac:dyDescent="0.2">
      <c r="A61" s="15"/>
      <c r="B61" s="19"/>
      <c r="C61" s="20"/>
      <c r="D61" s="8"/>
    </row>
    <row r="62" spans="1:4" x14ac:dyDescent="0.2">
      <c r="A62" s="15"/>
      <c r="B62" s="2" t="s">
        <v>10</v>
      </c>
      <c r="C62" s="3" t="s">
        <v>11</v>
      </c>
      <c r="D62" s="9">
        <f>SUM(D57:D61)</f>
        <v>0</v>
      </c>
    </row>
    <row r="63" spans="1:4" ht="24.95" customHeight="1" x14ac:dyDescent="0.2">
      <c r="A63" s="16"/>
      <c r="B63" s="21"/>
      <c r="C63" s="22"/>
      <c r="D63" s="23"/>
    </row>
    <row r="64" spans="1:4" ht="12.75" customHeight="1" x14ac:dyDescent="0.2">
      <c r="A64" s="14"/>
      <c r="B64" s="17"/>
      <c r="C64" s="18"/>
      <c r="D64" s="7"/>
    </row>
    <row r="65" spans="1:4" x14ac:dyDescent="0.2">
      <c r="A65" s="15"/>
      <c r="B65" s="19"/>
      <c r="C65" s="20"/>
      <c r="D65" s="8"/>
    </row>
    <row r="66" spans="1:4" x14ac:dyDescent="0.2">
      <c r="A66" s="15"/>
      <c r="B66" s="19"/>
      <c r="C66" s="20"/>
      <c r="D66" s="8"/>
    </row>
    <row r="67" spans="1:4" x14ac:dyDescent="0.2">
      <c r="A67" s="15"/>
      <c r="B67" s="19"/>
      <c r="C67" s="20"/>
      <c r="D67" s="8"/>
    </row>
    <row r="68" spans="1:4" x14ac:dyDescent="0.2">
      <c r="A68" s="15"/>
      <c r="B68" s="19"/>
      <c r="C68" s="20"/>
      <c r="D68" s="8"/>
    </row>
    <row r="69" spans="1:4" x14ac:dyDescent="0.2">
      <c r="A69" s="15"/>
      <c r="B69" s="2" t="s">
        <v>10</v>
      </c>
      <c r="C69" s="3" t="s">
        <v>11</v>
      </c>
      <c r="D69" s="9">
        <f>SUM(D64:D68)</f>
        <v>0</v>
      </c>
    </row>
    <row r="70" spans="1:4" ht="24.95" customHeight="1" x14ac:dyDescent="0.2">
      <c r="A70" s="15"/>
      <c r="B70" s="24"/>
      <c r="C70" s="25"/>
      <c r="D70" s="26"/>
    </row>
    <row r="71" spans="1:4" ht="12.75" customHeight="1" x14ac:dyDescent="0.2">
      <c r="A71" s="14"/>
      <c r="B71" s="17"/>
      <c r="C71" s="18"/>
      <c r="D71" s="7"/>
    </row>
    <row r="72" spans="1:4" x14ac:dyDescent="0.2">
      <c r="A72" s="15"/>
      <c r="B72" s="19"/>
      <c r="C72" s="20"/>
      <c r="D72" s="8"/>
    </row>
    <row r="73" spans="1:4" x14ac:dyDescent="0.2">
      <c r="A73" s="15"/>
      <c r="B73" s="19"/>
      <c r="C73" s="20"/>
      <c r="D73" s="8"/>
    </row>
    <row r="74" spans="1:4" x14ac:dyDescent="0.2">
      <c r="A74" s="15"/>
      <c r="B74" s="19"/>
      <c r="C74" s="20"/>
      <c r="D74" s="8"/>
    </row>
    <row r="75" spans="1:4" x14ac:dyDescent="0.2">
      <c r="A75" s="15"/>
      <c r="B75" s="19"/>
      <c r="C75" s="20"/>
      <c r="D75" s="8"/>
    </row>
    <row r="76" spans="1:4" x14ac:dyDescent="0.2">
      <c r="A76" s="15"/>
      <c r="B76" s="2" t="s">
        <v>10</v>
      </c>
      <c r="C76" s="3" t="s">
        <v>11</v>
      </c>
      <c r="D76" s="9">
        <f>SUM(D71:D75)</f>
        <v>0</v>
      </c>
    </row>
    <row r="77" spans="1:4" ht="24.95" customHeight="1" x14ac:dyDescent="0.2">
      <c r="A77" s="16"/>
      <c r="B77" s="21"/>
      <c r="C77" s="22"/>
      <c r="D77" s="23"/>
    </row>
    <row r="78" spans="1:4" ht="12.75" customHeight="1" x14ac:dyDescent="0.2">
      <c r="A78" s="14"/>
      <c r="B78" s="17"/>
      <c r="C78" s="18"/>
      <c r="D78" s="7"/>
    </row>
    <row r="79" spans="1:4" x14ac:dyDescent="0.2">
      <c r="A79" s="15"/>
      <c r="B79" s="19"/>
      <c r="C79" s="20"/>
      <c r="D79" s="8"/>
    </row>
    <row r="80" spans="1:4" x14ac:dyDescent="0.2">
      <c r="A80" s="15"/>
      <c r="B80" s="19"/>
      <c r="C80" s="20"/>
      <c r="D80" s="8"/>
    </row>
    <row r="81" spans="1:4" x14ac:dyDescent="0.2">
      <c r="A81" s="15"/>
      <c r="B81" s="19"/>
      <c r="C81" s="20"/>
      <c r="D81" s="8"/>
    </row>
    <row r="82" spans="1:4" x14ac:dyDescent="0.2">
      <c r="A82" s="15"/>
      <c r="B82" s="19"/>
      <c r="C82" s="20"/>
      <c r="D82" s="8"/>
    </row>
    <row r="83" spans="1:4" x14ac:dyDescent="0.2">
      <c r="A83" s="15"/>
      <c r="B83" s="2" t="s">
        <v>10</v>
      </c>
      <c r="C83" s="3" t="s">
        <v>11</v>
      </c>
      <c r="D83" s="9">
        <f>SUM(D78:D82)</f>
        <v>0</v>
      </c>
    </row>
    <row r="84" spans="1:4" ht="24.95" customHeight="1" x14ac:dyDescent="0.2">
      <c r="A84" s="16"/>
      <c r="B84" s="21"/>
      <c r="C84" s="22"/>
      <c r="D84" s="23"/>
    </row>
    <row r="85" spans="1:4" ht="12" customHeight="1" x14ac:dyDescent="0.2">
      <c r="A85" s="11"/>
      <c r="B85" s="10"/>
      <c r="C85" s="3" t="s">
        <v>21</v>
      </c>
      <c r="D85" s="12">
        <f>D11+D20+D27+D34+D41+D48+D55+D62+D69+D76+D83</f>
        <v>43.4</v>
      </c>
    </row>
    <row r="86" spans="1:4" x14ac:dyDescent="0.2">
      <c r="A86" s="13" t="s">
        <v>22</v>
      </c>
      <c r="B86" s="13"/>
      <c r="C86" s="13"/>
      <c r="D86" s="13"/>
    </row>
  </sheetData>
  <mergeCells count="84">
    <mergeCell ref="A1:D1"/>
    <mergeCell ref="A2:C2"/>
    <mergeCell ref="A4:A5"/>
    <mergeCell ref="B4:C5"/>
    <mergeCell ref="A6:A12"/>
    <mergeCell ref="B6:C6"/>
    <mergeCell ref="B7:C7"/>
    <mergeCell ref="B8:C8"/>
    <mergeCell ref="B9:C9"/>
    <mergeCell ref="B10:C10"/>
    <mergeCell ref="B12:D12"/>
    <mergeCell ref="A13:A21"/>
    <mergeCell ref="B13:C13"/>
    <mergeCell ref="B14:C14"/>
    <mergeCell ref="B15:C15"/>
    <mergeCell ref="B17:C17"/>
    <mergeCell ref="B19:C19"/>
    <mergeCell ref="B21:D21"/>
    <mergeCell ref="B16:C16"/>
    <mergeCell ref="B18:C18"/>
    <mergeCell ref="A22:A28"/>
    <mergeCell ref="B22:C22"/>
    <mergeCell ref="B23:C23"/>
    <mergeCell ref="B24:C24"/>
    <mergeCell ref="B25:C25"/>
    <mergeCell ref="B26:C26"/>
    <mergeCell ref="B28:D28"/>
    <mergeCell ref="A29:A35"/>
    <mergeCell ref="B29:C29"/>
    <mergeCell ref="B30:C30"/>
    <mergeCell ref="B31:C31"/>
    <mergeCell ref="B32:C32"/>
    <mergeCell ref="B33:C33"/>
    <mergeCell ref="B35:D35"/>
    <mergeCell ref="A36:A42"/>
    <mergeCell ref="B36:C36"/>
    <mergeCell ref="B37:C37"/>
    <mergeCell ref="B38:C38"/>
    <mergeCell ref="B39:C39"/>
    <mergeCell ref="B40:C40"/>
    <mergeCell ref="B42:D42"/>
    <mergeCell ref="A43:A49"/>
    <mergeCell ref="B43:C43"/>
    <mergeCell ref="B44:C44"/>
    <mergeCell ref="B45:C45"/>
    <mergeCell ref="B46:C46"/>
    <mergeCell ref="B47:C47"/>
    <mergeCell ref="B49:D49"/>
    <mergeCell ref="A50:A56"/>
    <mergeCell ref="B50:C50"/>
    <mergeCell ref="B51:C51"/>
    <mergeCell ref="B52:C52"/>
    <mergeCell ref="B53:C53"/>
    <mergeCell ref="B54:C54"/>
    <mergeCell ref="B56:D56"/>
    <mergeCell ref="A57:A63"/>
    <mergeCell ref="B57:C57"/>
    <mergeCell ref="B58:C58"/>
    <mergeCell ref="B59:C59"/>
    <mergeCell ref="B60:C60"/>
    <mergeCell ref="B61:C61"/>
    <mergeCell ref="B63:D63"/>
    <mergeCell ref="A64:A70"/>
    <mergeCell ref="B64:C64"/>
    <mergeCell ref="B65:C65"/>
    <mergeCell ref="B66:C66"/>
    <mergeCell ref="B67:C67"/>
    <mergeCell ref="B68:C68"/>
    <mergeCell ref="B70:D70"/>
    <mergeCell ref="A71:A77"/>
    <mergeCell ref="B71:C71"/>
    <mergeCell ref="B72:C72"/>
    <mergeCell ref="B73:C73"/>
    <mergeCell ref="B74:C74"/>
    <mergeCell ref="B75:C75"/>
    <mergeCell ref="B77:D77"/>
    <mergeCell ref="A86:D86"/>
    <mergeCell ref="A78:A84"/>
    <mergeCell ref="B78:C78"/>
    <mergeCell ref="B79:C79"/>
    <mergeCell ref="B80:C80"/>
    <mergeCell ref="B81:C81"/>
    <mergeCell ref="B82:C82"/>
    <mergeCell ref="B84:D84"/>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20">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2:D27">
    <cfRule type="containsText" dxfId="19" priority="3" operator="containsText" text="Terminé">
      <formula>NOT(ISERROR(SEARCH("Terminé",D22)))</formula>
    </cfRule>
    <cfRule type="containsText" dxfId="18" priority="4" operator="containsText" text="En cours">
      <formula>NOT(ISERROR(SEARCH("En cours",D22)))</formula>
    </cfRule>
  </conditionalFormatting>
  <conditionalFormatting sqref="D29:D34">
    <cfRule type="containsText" dxfId="17" priority="19" operator="containsText" text="Terminé">
      <formula>NOT(ISERROR(SEARCH("Terminé",D29)))</formula>
    </cfRule>
    <cfRule type="containsText" dxfId="16" priority="20" operator="containsText" text="En cours">
      <formula>NOT(ISERROR(SEARCH("En cours",D29)))</formula>
    </cfRule>
  </conditionalFormatting>
  <conditionalFormatting sqref="D36:D41">
    <cfRule type="containsText" dxfId="15" priority="17" operator="containsText" text="Terminé">
      <formula>NOT(ISERROR(SEARCH("Terminé",D36)))</formula>
    </cfRule>
    <cfRule type="containsText" dxfId="14" priority="18" operator="containsText" text="En cours">
      <formula>NOT(ISERROR(SEARCH("En cours",D36)))</formula>
    </cfRule>
  </conditionalFormatting>
  <conditionalFormatting sqref="D43:D48">
    <cfRule type="containsText" dxfId="13" priority="9" operator="containsText" text="Terminé">
      <formula>NOT(ISERROR(SEARCH("Terminé",D43)))</formula>
    </cfRule>
    <cfRule type="containsText" dxfId="12" priority="10" operator="containsText" text="En cours">
      <formula>NOT(ISERROR(SEARCH("En cours",D43)))</formula>
    </cfRule>
  </conditionalFormatting>
  <conditionalFormatting sqref="D50:D55">
    <cfRule type="containsText" dxfId="11" priority="7" operator="containsText" text="Terminé">
      <formula>NOT(ISERROR(SEARCH("Terminé",D50)))</formula>
    </cfRule>
    <cfRule type="containsText" dxfId="10" priority="8" operator="containsText" text="En cours">
      <formula>NOT(ISERROR(SEARCH("En cours",D50)))</formula>
    </cfRule>
  </conditionalFormatting>
  <conditionalFormatting sqref="D57:D62">
    <cfRule type="containsText" dxfId="9" priority="5" operator="containsText" text="Terminé">
      <formula>NOT(ISERROR(SEARCH("Terminé",D57)))</formula>
    </cfRule>
    <cfRule type="containsText" dxfId="8" priority="6" operator="containsText" text="En cours">
      <formula>NOT(ISERROR(SEARCH("En cours",D57)))</formula>
    </cfRule>
  </conditionalFormatting>
  <conditionalFormatting sqref="D64:D69">
    <cfRule type="containsText" dxfId="7" priority="15" operator="containsText" text="Terminé">
      <formula>NOT(ISERROR(SEARCH("Terminé",D64)))</formula>
    </cfRule>
    <cfRule type="containsText" dxfId="6" priority="16" operator="containsText" text="En cours">
      <formula>NOT(ISERROR(SEARCH("En cours",D64)))</formula>
    </cfRule>
  </conditionalFormatting>
  <conditionalFormatting sqref="D71:D76">
    <cfRule type="containsText" dxfId="5" priority="13" operator="containsText" text="Terminé">
      <formula>NOT(ISERROR(SEARCH("Terminé",D71)))</formula>
    </cfRule>
    <cfRule type="containsText" dxfId="4" priority="14" operator="containsText" text="En cours">
      <formula>NOT(ISERROR(SEARCH("En cours",D71)))</formula>
    </cfRule>
  </conditionalFormatting>
  <conditionalFormatting sqref="D78:D83">
    <cfRule type="containsText" dxfId="3" priority="11" operator="containsText" text="Terminé">
      <formula>NOT(ISERROR(SEARCH("Terminé",D78)))</formula>
    </cfRule>
    <cfRule type="containsText" dxfId="2" priority="12" operator="containsText" text="En cours">
      <formula>NOT(ISERROR(SEARCH("En cours",D78)))</formula>
    </cfRule>
  </conditionalFormatting>
  <conditionalFormatting sqref="D85">
    <cfRule type="containsText" dxfId="1" priority="1" operator="containsText" text="Terminé">
      <formula>NOT(ISERROR(SEARCH("Terminé",D85)))</formula>
    </cfRule>
    <cfRule type="containsText" dxfId="0" priority="2" operator="containsText" text="En cours">
      <formula>NOT(ISERROR(SEARCH("En cours",D85)))</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9" max="16383" man="1"/>
    <brk id="85"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Props1.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3.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8afaa137-8a18-4908-97f4-35fc924e5a91"/>
    <ds:schemaRef ds:uri="3b60234b-33e6-42ae-ae88-ba7d4a3eed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Journal_Barras_Matias</vt:lpstr>
      <vt:lpstr>Journal_Barras_Matias!Impression_des_titres</vt:lpstr>
      <vt:lpstr>Journal_Barras_Matias!Zone_d_impression</vt:lpstr>
    </vt:vector>
  </TitlesOfParts>
  <Manager/>
  <Company>EMF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Guisolan Christian</dc:creator>
  <cp:keywords/>
  <dc:description/>
  <cp:lastModifiedBy>Barras Matias</cp:lastModifiedBy>
  <cp:revision/>
  <dcterms:created xsi:type="dcterms:W3CDTF">2002-03-11T12:50:08Z</dcterms:created>
  <dcterms:modified xsi:type="dcterms:W3CDTF">2026-01-15T13:36:30Z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