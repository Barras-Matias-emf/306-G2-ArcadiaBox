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matias_barras_studentfr_ch/Documents/Dossier de formation/5-Modules/Développement/Module-306/306-G2-ArcadiaBox/documentation/"/>
    </mc:Choice>
  </mc:AlternateContent>
  <xr:revisionPtr revIDLastSave="51" documentId="13_ncr:1_{C68E2980-A969-4E78-98D4-6A7237E3E30A}" xr6:coauthVersionLast="47" xr6:coauthVersionMax="47" xr10:uidLastSave="{BB221271-2838-4846-83C3-BA8D962538FC}"/>
  <bookViews>
    <workbookView xWindow="-120" yWindow="-120" windowWidth="29040" windowHeight="15720" activeTab="2" xr2:uid="{00000000-000D-0000-FFFF-FFFF00000000}"/>
  </bookViews>
  <sheets>
    <sheet name="Journal_DEILLON_JONAS" sheetId="8" r:id="rId1"/>
    <sheet name="Journal_RAMIREZ_ARNAUD" sheetId="9" r:id="rId2"/>
    <sheet name="Journal_Barras_Matias" sheetId="10" r:id="rId3"/>
    <sheet name="Journal_NOM_PRENOM4" sheetId="11" r:id="rId4"/>
  </sheets>
  <definedNames>
    <definedName name="_xlnm._FilterDatabase" localSheetId="2" hidden="1">Journal_Barras_Matias!$A$5:$HI$5</definedName>
    <definedName name="_xlnm._FilterDatabase" localSheetId="0" hidden="1">Journal_DEILLON_JONAS!$A$5:$HI$5</definedName>
    <definedName name="_xlnm._FilterDatabase" localSheetId="3" hidden="1">Journal_NOM_PRENOM4!$A$5:$HI$5</definedName>
    <definedName name="_xlnm._FilterDatabase" localSheetId="1" hidden="1">Journal_RAMIREZ_ARNAUD!$A$5:$HI$5</definedName>
    <definedName name="_xlnm.Print_Titles" localSheetId="2">Journal_Barras_Matias!$B:$D,Journal_Barras_Matias!$1:$5</definedName>
    <definedName name="_xlnm.Print_Titles" localSheetId="0">Journal_DEILLON_JONAS!$B:$D,Journal_DEILLON_JONAS!$1:$5</definedName>
    <definedName name="_xlnm.Print_Titles" localSheetId="3">Journal_NOM_PRENOM4!$B:$D,Journal_NOM_PRENOM4!$1:$5</definedName>
    <definedName name="_xlnm.Print_Titles" localSheetId="1">Journal_RAMIREZ_ARNAUD!$B:$D,Journal_RAMIREZ_ARNAUD!$1:$5</definedName>
    <definedName name="_xlnm.Print_Area" localSheetId="2">Journal_Barras_Matias!$A$1:$D$83</definedName>
    <definedName name="_xlnm.Print_Area" localSheetId="0">Journal_DEILLON_JONAS!$A$1:$D$83</definedName>
    <definedName name="_xlnm.Print_Area" localSheetId="3">Journal_NOM_PRENOM4!$A$1:$D$83</definedName>
    <definedName name="_xlnm.Print_Area" localSheetId="1">Journal_RAMIREZ_ARNAUD!$A$1:$D$83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11" l="1"/>
  <c r="D74" i="11"/>
  <c r="D67" i="11"/>
  <c r="D60" i="11"/>
  <c r="D53" i="11"/>
  <c r="D46" i="11"/>
  <c r="D39" i="11"/>
  <c r="D32" i="11"/>
  <c r="D25" i="11"/>
  <c r="D18" i="11"/>
  <c r="D11" i="11"/>
  <c r="D83" i="11" s="1"/>
  <c r="D81" i="10"/>
  <c r="D74" i="10"/>
  <c r="D67" i="10"/>
  <c r="D60" i="10"/>
  <c r="D53" i="10"/>
  <c r="D46" i="10"/>
  <c r="D39" i="10"/>
  <c r="D32" i="10"/>
  <c r="D25" i="10"/>
  <c r="D18" i="10"/>
  <c r="D11" i="10"/>
  <c r="D83" i="10" s="1"/>
  <c r="D81" i="9"/>
  <c r="D74" i="9"/>
  <c r="D67" i="9"/>
  <c r="D60" i="9"/>
  <c r="D53" i="9"/>
  <c r="D46" i="9"/>
  <c r="D39" i="9"/>
  <c r="D32" i="9"/>
  <c r="D25" i="9"/>
  <c r="D18" i="9"/>
  <c r="D11" i="9"/>
  <c r="D83" i="9" s="1"/>
  <c r="D25" i="8"/>
  <c r="D60" i="8"/>
  <c r="D53" i="8"/>
  <c r="D46" i="8"/>
  <c r="D81" i="8"/>
  <c r="D74" i="8"/>
  <c r="D67" i="8"/>
  <c r="D39" i="8"/>
  <c r="D32" i="8"/>
  <c r="D18" i="8"/>
  <c r="D11" i="8"/>
  <c r="D83" i="8" l="1"/>
</calcChain>
</file>

<file path=xl/sharedStrings.xml><?xml version="1.0" encoding="utf-8"?>
<sst xmlns="http://schemas.openxmlformats.org/spreadsheetml/2006/main" count="131" uniqueCount="26">
  <si>
    <t>Insérer les lignes au-dessus de celle-ci !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</si>
  <si>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</si>
  <si>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[Nom Prénom du candidat]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</si>
  <si>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</si>
  <si>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</si>
  <si>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</si>
  <si>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</si>
  <si>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</si>
  <si>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</si>
  <si>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</si>
  <si>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</si>
  <si>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t>Jonas Deillon</t>
  </si>
  <si>
    <r>
      <rPr>
        <b/>
        <sz val="16"/>
        <color rgb="FF000000"/>
        <rFont val="Arial"/>
      </rPr>
      <t>Projet :</t>
    </r>
    <r>
      <rPr>
        <b/>
        <sz val="14"/>
        <color rgb="FF000000"/>
        <rFont val="Arial"/>
      </rPr>
      <t xml:space="preserve"> </t>
    </r>
    <r>
      <rPr>
        <sz val="14"/>
        <color rgb="FF000000"/>
        <rFont val="Arial"/>
      </rPr>
      <t xml:space="preserve">Arcadia      </t>
    </r>
    <r>
      <rPr>
        <sz val="16"/>
        <color rgb="FF000000"/>
        <rFont val="Arial"/>
      </rPr>
      <t xml:space="preserve">                      </t>
    </r>
  </si>
  <si>
    <r>
      <t xml:space="preserve">Projet : </t>
    </r>
    <r>
      <rPr>
        <b/>
        <sz val="14"/>
        <rFont val="Arial"/>
        <family val="2"/>
      </rPr>
      <t>Arcadia</t>
    </r>
    <r>
      <rPr>
        <sz val="14"/>
        <rFont val="Arial"/>
        <family val="2"/>
      </rPr>
      <t xml:space="preserve">   </t>
    </r>
    <r>
      <rPr>
        <sz val="16"/>
        <rFont val="Arial"/>
        <family val="2"/>
      </rPr>
      <t xml:space="preserve">                      </t>
    </r>
  </si>
  <si>
    <t>Barras Matias</t>
  </si>
  <si>
    <t>Documentation BusinessCase</t>
  </si>
  <si>
    <t>Documentation CahierDesCharges</t>
  </si>
  <si>
    <t>Ramrez Arnaud</t>
  </si>
  <si>
    <r>
      <rPr>
        <b/>
        <sz val="16"/>
        <color rgb="FF000000"/>
        <rFont val="Arial"/>
      </rPr>
      <t xml:space="preserve">Projet : Arcadia            </t>
    </r>
    <r>
      <rPr>
        <sz val="16"/>
        <color rgb="FF000000"/>
        <rFont val="Arial"/>
      </rPr>
      <t xml:space="preserve">                    </t>
    </r>
  </si>
  <si>
    <t>Remplisage du docuemnt BusinessCase</t>
  </si>
  <si>
    <t>Remplissage du docuement Cahier des charges</t>
  </si>
  <si>
    <t>Récupération et test du matériel</t>
  </si>
  <si>
    <t>Discution client</t>
  </si>
  <si>
    <t>création du cahier des charge</t>
  </si>
  <si>
    <t>création du cahier des BusinessCase</t>
  </si>
  <si>
    <t>discussion avec le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</si>
</sst>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6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  <font>
      <b/>
      <sz val="16"/>
      <color rgb="FF000000"/>
      <name val="Arial"/>
    </font>
    <font>
      <b/>
      <sz val="14"/>
      <color rgb="FF000000"/>
      <name val="Arial"/>
    </font>
    <font>
      <sz val="14"/>
      <color rgb="FF000000"/>
      <name val="Arial"/>
    </font>
    <font>
      <sz val="16"/>
      <color rgb="FF000000"/>
      <name val="Arial"/>
    </font>
    <font>
      <b/>
      <sz val="1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left"/>
      <protection locked="0"/>
    </xf>
    <xf numFmtId="0" fontId="11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96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opLeftCell="A30" zoomScale="115" zoomScaleNormal="115" zoomScaleSheetLayoutView="115" workbookViewId="0">
      <pane ySplit="1" activePane="bottomLeft"/>
      <selection activeCell="D5" sqref="A5:XFD5"/>
      <selection pane="bottomLeft" sqref="A1:D1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38" t="s">
        <v>12</v>
      </c>
      <c r="B1" s="27"/>
      <c r="C1" s="27"/>
      <c r="D1" s="27"/>
    </row>
    <row r="2" spans="1:4" ht="18" x14ac:dyDescent="0.25">
      <c r="A2" s="34" t="s">
        <v>11</v>
      </c>
      <c r="B2" s="34"/>
      <c r="C2" s="35"/>
      <c r="D2" s="4">
        <v>1</v>
      </c>
    </row>
    <row r="4" spans="1:4" ht="12" customHeight="1" x14ac:dyDescent="0.2">
      <c r="A4" s="28" t="s">
        <v>3</v>
      </c>
      <c r="B4" s="28" t="s">
        <v>4</v>
      </c>
      <c r="C4" s="29"/>
      <c r="D4" s="5" t="s">
        <v>6</v>
      </c>
    </row>
    <row r="5" spans="1:4" ht="13.5" thickBot="1" x14ac:dyDescent="0.25">
      <c r="A5" s="30"/>
      <c r="B5" s="30"/>
      <c r="C5" s="31"/>
      <c r="D5" s="6" t="s">
        <v>5</v>
      </c>
    </row>
    <row r="6" spans="1:4" ht="12.75" customHeight="1" x14ac:dyDescent="0.2">
      <c r="A6" s="36">
        <v>45996</v>
      </c>
      <c r="B6" s="32" t="s">
        <v>19</v>
      </c>
      <c r="C6" s="33"/>
      <c r="D6" s="7">
        <v>2</v>
      </c>
    </row>
    <row r="7" spans="1:4" x14ac:dyDescent="0.2">
      <c r="A7" s="15"/>
      <c r="B7" s="18" t="s">
        <v>20</v>
      </c>
      <c r="C7" s="19"/>
      <c r="D7" s="8">
        <v>1.75</v>
      </c>
    </row>
    <row r="8" spans="1:4" x14ac:dyDescent="0.2">
      <c r="A8" s="15"/>
      <c r="B8" s="18"/>
      <c r="C8" s="19"/>
      <c r="D8" s="8"/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8</v>
      </c>
      <c r="C11" s="3" t="s">
        <v>7</v>
      </c>
      <c r="D11" s="9">
        <f>SUM(D6:D10)</f>
        <v>3.75</v>
      </c>
    </row>
    <row r="12" spans="1:4" ht="24.95" customHeight="1" x14ac:dyDescent="0.2">
      <c r="A12" s="15"/>
      <c r="B12" s="20"/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8</v>
      </c>
      <c r="C18" s="3" t="s">
        <v>7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8</v>
      </c>
      <c r="C25" s="3" t="s">
        <v>7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8</v>
      </c>
      <c r="C32" s="3" t="s">
        <v>7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8</v>
      </c>
      <c r="C39" s="3" t="s">
        <v>7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8</v>
      </c>
      <c r="C46" s="3" t="s">
        <v>7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8</v>
      </c>
      <c r="C53" s="3" t="s">
        <v>7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8</v>
      </c>
      <c r="C60" s="3" t="s">
        <v>7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8</v>
      </c>
      <c r="C67" s="3" t="s">
        <v>7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8</v>
      </c>
      <c r="C74" s="3" t="s">
        <v>7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8</v>
      </c>
      <c r="C81" s="3" t="s">
        <v>7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10</v>
      </c>
      <c r="D83" s="12">
        <f>D11+D18+D25+D32+D39+D46+D53+D60+D67+D74+D81</f>
        <v>3.75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20:A26"/>
    <mergeCell ref="B20:C20"/>
    <mergeCell ref="B21:C21"/>
    <mergeCell ref="B22:C22"/>
    <mergeCell ref="B23:C23"/>
    <mergeCell ref="B24:C24"/>
    <mergeCell ref="B26:D26"/>
    <mergeCell ref="B54:D54"/>
    <mergeCell ref="A55:A61"/>
    <mergeCell ref="B55:C55"/>
    <mergeCell ref="B56:C56"/>
    <mergeCell ref="B57:C57"/>
    <mergeCell ref="B58:C58"/>
    <mergeCell ref="B59:C59"/>
    <mergeCell ref="B61:D61"/>
    <mergeCell ref="B48:C48"/>
    <mergeCell ref="B49:C49"/>
    <mergeCell ref="B50:C50"/>
    <mergeCell ref="B51:C51"/>
    <mergeCell ref="B52:C52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B40:D40"/>
    <mergeCell ref="A62:A68"/>
    <mergeCell ref="B62:C62"/>
    <mergeCell ref="B63:C63"/>
    <mergeCell ref="B64:C64"/>
    <mergeCell ref="B65:C65"/>
    <mergeCell ref="B66:C66"/>
    <mergeCell ref="B68:D68"/>
    <mergeCell ref="A41:A47"/>
    <mergeCell ref="B41:C41"/>
    <mergeCell ref="B42:C42"/>
    <mergeCell ref="B43:C43"/>
    <mergeCell ref="B44:C44"/>
    <mergeCell ref="B45:C45"/>
    <mergeCell ref="B47:D47"/>
    <mergeCell ref="A48:A54"/>
    <mergeCell ref="B34:C34"/>
    <mergeCell ref="B35:C35"/>
    <mergeCell ref="B36:C36"/>
    <mergeCell ref="B37:C37"/>
    <mergeCell ref="B38:C38"/>
    <mergeCell ref="B7:C7"/>
    <mergeCell ref="B9:C9"/>
    <mergeCell ref="B10:C10"/>
    <mergeCell ref="A6:A12"/>
    <mergeCell ref="B8:C8"/>
    <mergeCell ref="B12:D12"/>
    <mergeCell ref="A1:D1"/>
    <mergeCell ref="B4:C5"/>
    <mergeCell ref="B6:C6"/>
    <mergeCell ref="A2:C2"/>
    <mergeCell ref="A4:A5"/>
    <mergeCell ref="A84:D84"/>
    <mergeCell ref="A13:A19"/>
    <mergeCell ref="B13:C13"/>
    <mergeCell ref="B14:C14"/>
    <mergeCell ref="B15:C15"/>
    <mergeCell ref="B16:C16"/>
    <mergeCell ref="B17:C17"/>
    <mergeCell ref="B19:D19"/>
    <mergeCell ref="A27:A33"/>
    <mergeCell ref="B27:C27"/>
    <mergeCell ref="B28:C28"/>
    <mergeCell ref="B29:C29"/>
    <mergeCell ref="B30:C30"/>
    <mergeCell ref="B31:C31"/>
    <mergeCell ref="B33:D33"/>
    <mergeCell ref="A34:A40"/>
  </mergeCells>
  <conditionalFormatting sqref="D6:D11">
    <cfRule type="containsText" dxfId="95" priority="23" operator="containsText" text="Terminé">
      <formula>NOT(ISERROR(SEARCH("Terminé",D6)))</formula>
    </cfRule>
    <cfRule type="containsText" dxfId="94" priority="24" operator="containsText" text="En cours">
      <formula>NOT(ISERROR(SEARCH("En cours",D6)))</formula>
    </cfRule>
  </conditionalFormatting>
  <conditionalFormatting sqref="D13:D18">
    <cfRule type="containsText" dxfId="93" priority="21" operator="containsText" text="Terminé">
      <formula>NOT(ISERROR(SEARCH("Terminé",D13)))</formula>
    </cfRule>
    <cfRule type="containsText" dxfId="92" priority="22" operator="containsText" text="En cours">
      <formula>NOT(ISERROR(SEARCH("En cours",D13)))</formula>
    </cfRule>
  </conditionalFormatting>
  <conditionalFormatting sqref="D20:D25">
    <cfRule type="containsText" dxfId="91" priority="3" operator="containsText" text="Terminé">
      <formula>NOT(ISERROR(SEARCH("Terminé",D20)))</formula>
    </cfRule>
    <cfRule type="containsText" dxfId="90" priority="4" operator="containsText" text="En cours">
      <formula>NOT(ISERROR(SEARCH("En cours",D20)))</formula>
    </cfRule>
  </conditionalFormatting>
  <conditionalFormatting sqref="D27:D32">
    <cfRule type="containsText" dxfId="89" priority="19" operator="containsText" text="Terminé">
      <formula>NOT(ISERROR(SEARCH("Terminé",D27)))</formula>
    </cfRule>
    <cfRule type="containsText" dxfId="88" priority="20" operator="containsText" text="En cours">
      <formula>NOT(ISERROR(SEARCH("En cours",D27)))</formula>
    </cfRule>
  </conditionalFormatting>
  <conditionalFormatting sqref="D34:D39">
    <cfRule type="containsText" dxfId="87" priority="17" operator="containsText" text="Terminé">
      <formula>NOT(ISERROR(SEARCH("Terminé",D34)))</formula>
    </cfRule>
    <cfRule type="containsText" dxfId="86" priority="18" operator="containsText" text="En cours">
      <formula>NOT(ISERROR(SEARCH("En cours",D34)))</formula>
    </cfRule>
  </conditionalFormatting>
  <conditionalFormatting sqref="D41:D46">
    <cfRule type="containsText" dxfId="85" priority="9" operator="containsText" text="Terminé">
      <formula>NOT(ISERROR(SEARCH("Terminé",D41)))</formula>
    </cfRule>
    <cfRule type="containsText" dxfId="84" priority="10" operator="containsText" text="En cours">
      <formula>NOT(ISERROR(SEARCH("En cours",D41)))</formula>
    </cfRule>
  </conditionalFormatting>
  <conditionalFormatting sqref="D48:D53">
    <cfRule type="containsText" dxfId="83" priority="7" operator="containsText" text="Terminé">
      <formula>NOT(ISERROR(SEARCH("Terminé",D48)))</formula>
    </cfRule>
    <cfRule type="containsText" dxfId="82" priority="8" operator="containsText" text="En cours">
      <formula>NOT(ISERROR(SEARCH("En cours",D48)))</formula>
    </cfRule>
  </conditionalFormatting>
  <conditionalFormatting sqref="D55:D60">
    <cfRule type="containsText" dxfId="81" priority="5" operator="containsText" text="Terminé">
      <formula>NOT(ISERROR(SEARCH("Terminé",D55)))</formula>
    </cfRule>
    <cfRule type="containsText" dxfId="80" priority="6" operator="containsText" text="En cours">
      <formula>NOT(ISERROR(SEARCH("En cours",D55)))</formula>
    </cfRule>
  </conditionalFormatting>
  <conditionalFormatting sqref="D62:D67">
    <cfRule type="containsText" dxfId="79" priority="15" operator="containsText" text="Terminé">
      <formula>NOT(ISERROR(SEARCH("Terminé",D62)))</formula>
    </cfRule>
    <cfRule type="containsText" dxfId="78" priority="16" operator="containsText" text="En cours">
      <formula>NOT(ISERROR(SEARCH("En cours",D62)))</formula>
    </cfRule>
  </conditionalFormatting>
  <conditionalFormatting sqref="D69:D74">
    <cfRule type="containsText" dxfId="77" priority="13" operator="containsText" text="Terminé">
      <formula>NOT(ISERROR(SEARCH("Terminé",D69)))</formula>
    </cfRule>
    <cfRule type="containsText" dxfId="76" priority="14" operator="containsText" text="En cours">
      <formula>NOT(ISERROR(SEARCH("En cours",D69)))</formula>
    </cfRule>
  </conditionalFormatting>
  <conditionalFormatting sqref="D76:D81">
    <cfRule type="containsText" dxfId="75" priority="11" operator="containsText" text="Terminé">
      <formula>NOT(ISERROR(SEARCH("Terminé",D76)))</formula>
    </cfRule>
    <cfRule type="containsText" dxfId="74" priority="12" operator="containsText" text="En cours">
      <formula>NOT(ISERROR(SEARCH("En cours",D76)))</formula>
    </cfRule>
  </conditionalFormatting>
  <conditionalFormatting sqref="D83">
    <cfRule type="containsText" dxfId="73" priority="1" operator="containsText" text="Terminé">
      <formula>NOT(ISERROR(SEARCH("Terminé",D83)))</formula>
    </cfRule>
    <cfRule type="containsText" dxfId="72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topLeftCell="A14" zoomScale="115" zoomScaleNormal="115" zoomScaleSheetLayoutView="115" workbookViewId="0">
      <pane ySplit="1" activePane="bottomLeft"/>
      <selection activeCell="A5" sqref="A5:XFD5"/>
      <selection pane="bottomLeft" activeCell="H86" sqref="H86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37" t="s">
        <v>18</v>
      </c>
      <c r="B1" s="27"/>
      <c r="C1" s="27"/>
      <c r="D1" s="27"/>
    </row>
    <row r="2" spans="1:4" ht="18" x14ac:dyDescent="0.25">
      <c r="A2" s="34" t="s">
        <v>17</v>
      </c>
      <c r="B2" s="34"/>
      <c r="C2" s="35"/>
      <c r="D2" s="4">
        <v>3</v>
      </c>
    </row>
    <row r="4" spans="1:4" ht="12" customHeight="1" x14ac:dyDescent="0.2">
      <c r="A4" s="28" t="s">
        <v>3</v>
      </c>
      <c r="B4" s="28" t="s">
        <v>4</v>
      </c>
      <c r="C4" s="29"/>
      <c r="D4" s="5" t="s">
        <v>6</v>
      </c>
    </row>
    <row r="5" spans="1:4" ht="13.5" thickBot="1" x14ac:dyDescent="0.25">
      <c r="A5" s="30"/>
      <c r="B5" s="30"/>
      <c r="C5" s="31"/>
      <c r="D5" s="6" t="s">
        <v>5</v>
      </c>
    </row>
    <row r="6" spans="1:4" ht="12.75" customHeight="1" x14ac:dyDescent="0.2">
      <c r="A6" s="36">
        <v>45996</v>
      </c>
      <c r="B6" s="32" t="s">
        <v>21</v>
      </c>
      <c r="C6" s="33"/>
      <c r="D6" s="7">
        <v>0.5</v>
      </c>
    </row>
    <row r="7" spans="1:4" x14ac:dyDescent="0.2">
      <c r="A7" s="15"/>
      <c r="B7" s="18" t="s">
        <v>23</v>
      </c>
      <c r="C7" s="19"/>
      <c r="D7" s="8">
        <v>1</v>
      </c>
    </row>
    <row r="8" spans="1:4" x14ac:dyDescent="0.2">
      <c r="A8" s="15"/>
      <c r="B8" s="18" t="s">
        <v>24</v>
      </c>
      <c r="C8" s="19"/>
      <c r="D8" s="8">
        <v>1.8</v>
      </c>
    </row>
    <row r="9" spans="1:4" x14ac:dyDescent="0.2">
      <c r="A9" s="15"/>
      <c r="B9" s="18" t="s">
        <v>25</v>
      </c>
      <c r="C9" s="19"/>
      <c r="D9" s="8">
        <v>0.2</v>
      </c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8</v>
      </c>
      <c r="C11" s="3" t="s">
        <v>7</v>
      </c>
      <c r="D11" s="9">
        <f>SUM(D6:D10)</f>
        <v>3.5</v>
      </c>
    </row>
    <row r="12" spans="1:4" ht="24.95" customHeight="1" x14ac:dyDescent="0.2">
      <c r="A12" s="15"/>
      <c r="B12" s="20"/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8</v>
      </c>
      <c r="C18" s="3" t="s">
        <v>7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8</v>
      </c>
      <c r="C25" s="3" t="s">
        <v>7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8</v>
      </c>
      <c r="C32" s="3" t="s">
        <v>7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8</v>
      </c>
      <c r="C39" s="3" t="s">
        <v>7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8</v>
      </c>
      <c r="C46" s="3" t="s">
        <v>7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8</v>
      </c>
      <c r="C53" s="3" t="s">
        <v>7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8</v>
      </c>
      <c r="C60" s="3" t="s">
        <v>7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8</v>
      </c>
      <c r="C67" s="3" t="s">
        <v>7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8</v>
      </c>
      <c r="C74" s="3" t="s">
        <v>7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8</v>
      </c>
      <c r="C81" s="3" t="s">
        <v>7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10</v>
      </c>
      <c r="D83" s="12">
        <f>D11+D18+D25+D32+D39+D46+D53+D60+D67+D74+D81</f>
        <v>3.5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71" priority="23" operator="containsText" text="Terminé">
      <formula>NOT(ISERROR(SEARCH("Terminé",D6)))</formula>
    </cfRule>
    <cfRule type="containsText" dxfId="70" priority="24" operator="containsText" text="En cours">
      <formula>NOT(ISERROR(SEARCH("En cours",D6)))</formula>
    </cfRule>
  </conditionalFormatting>
  <conditionalFormatting sqref="D13:D18">
    <cfRule type="containsText" dxfId="69" priority="21" operator="containsText" text="Terminé">
      <formula>NOT(ISERROR(SEARCH("Terminé",D13)))</formula>
    </cfRule>
    <cfRule type="containsText" dxfId="68" priority="22" operator="containsText" text="En cours">
      <formula>NOT(ISERROR(SEARCH("En cours",D13)))</formula>
    </cfRule>
  </conditionalFormatting>
  <conditionalFormatting sqref="D20:D25">
    <cfRule type="containsText" dxfId="67" priority="3" operator="containsText" text="Terminé">
      <formula>NOT(ISERROR(SEARCH("Terminé",D20)))</formula>
    </cfRule>
    <cfRule type="containsText" dxfId="66" priority="4" operator="containsText" text="En cours">
      <formula>NOT(ISERROR(SEARCH("En cours",D20)))</formula>
    </cfRule>
  </conditionalFormatting>
  <conditionalFormatting sqref="D27:D32">
    <cfRule type="containsText" dxfId="65" priority="19" operator="containsText" text="Terminé">
      <formula>NOT(ISERROR(SEARCH("Terminé",D27)))</formula>
    </cfRule>
    <cfRule type="containsText" dxfId="64" priority="20" operator="containsText" text="En cours">
      <formula>NOT(ISERROR(SEARCH("En cours",D27)))</formula>
    </cfRule>
  </conditionalFormatting>
  <conditionalFormatting sqref="D34:D39">
    <cfRule type="containsText" dxfId="63" priority="17" operator="containsText" text="Terminé">
      <formula>NOT(ISERROR(SEARCH("Terminé",D34)))</formula>
    </cfRule>
    <cfRule type="containsText" dxfId="62" priority="18" operator="containsText" text="En cours">
      <formula>NOT(ISERROR(SEARCH("En cours",D34)))</formula>
    </cfRule>
  </conditionalFormatting>
  <conditionalFormatting sqref="D41:D46">
    <cfRule type="containsText" dxfId="61" priority="9" operator="containsText" text="Terminé">
      <formula>NOT(ISERROR(SEARCH("Terminé",D41)))</formula>
    </cfRule>
    <cfRule type="containsText" dxfId="60" priority="10" operator="containsText" text="En cours">
      <formula>NOT(ISERROR(SEARCH("En cours",D41)))</formula>
    </cfRule>
  </conditionalFormatting>
  <conditionalFormatting sqref="D48:D53">
    <cfRule type="containsText" dxfId="59" priority="7" operator="containsText" text="Terminé">
      <formula>NOT(ISERROR(SEARCH("Terminé",D48)))</formula>
    </cfRule>
    <cfRule type="containsText" dxfId="58" priority="8" operator="containsText" text="En cours">
      <formula>NOT(ISERROR(SEARCH("En cours",D48)))</formula>
    </cfRule>
  </conditionalFormatting>
  <conditionalFormatting sqref="D55:D60">
    <cfRule type="containsText" dxfId="57" priority="5" operator="containsText" text="Terminé">
      <formula>NOT(ISERROR(SEARCH("Terminé",D55)))</formula>
    </cfRule>
    <cfRule type="containsText" dxfId="56" priority="6" operator="containsText" text="En cours">
      <formula>NOT(ISERROR(SEARCH("En cours",D55)))</formula>
    </cfRule>
  </conditionalFormatting>
  <conditionalFormatting sqref="D62:D67">
    <cfRule type="containsText" dxfId="55" priority="15" operator="containsText" text="Terminé">
      <formula>NOT(ISERROR(SEARCH("Terminé",D62)))</formula>
    </cfRule>
    <cfRule type="containsText" dxfId="54" priority="16" operator="containsText" text="En cours">
      <formula>NOT(ISERROR(SEARCH("En cours",D62)))</formula>
    </cfRule>
  </conditionalFormatting>
  <conditionalFormatting sqref="D69:D74">
    <cfRule type="containsText" dxfId="53" priority="13" operator="containsText" text="Terminé">
      <formula>NOT(ISERROR(SEARCH("Terminé",D69)))</formula>
    </cfRule>
    <cfRule type="containsText" dxfId="52" priority="14" operator="containsText" text="En cours">
      <formula>NOT(ISERROR(SEARCH("En cours",D69)))</formula>
    </cfRule>
  </conditionalFormatting>
  <conditionalFormatting sqref="D76:D81">
    <cfRule type="containsText" dxfId="51" priority="11" operator="containsText" text="Terminé">
      <formula>NOT(ISERROR(SEARCH("Terminé",D76)))</formula>
    </cfRule>
    <cfRule type="containsText" dxfId="50" priority="12" operator="containsText" text="En cours">
      <formula>NOT(ISERROR(SEARCH("En cours",D76)))</formula>
    </cfRule>
  </conditionalFormatting>
  <conditionalFormatting sqref="D83">
    <cfRule type="containsText" dxfId="49" priority="1" operator="containsText" text="Terminé">
      <formula>NOT(ISERROR(SEARCH("Terminé",D83)))</formula>
    </cfRule>
    <cfRule type="containsText" dxfId="48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F0F3-3EF4-4217-9640-9C9A8BC6D0F3}">
  <dimension ref="A1:D84"/>
  <sheetViews>
    <sheetView tabSelected="1" zoomScale="115" zoomScaleNormal="115" zoomScaleSheetLayoutView="115" workbookViewId="0">
      <pane ySplit="1" activePane="bottomLeft"/>
      <selection activeCell="A5" sqref="A5:XFD5"/>
      <selection pane="bottomLeft" activeCell="G16" sqref="G16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13</v>
      </c>
      <c r="B1" s="27"/>
      <c r="C1" s="27"/>
      <c r="D1" s="27"/>
    </row>
    <row r="2" spans="1:4" ht="18" x14ac:dyDescent="0.25">
      <c r="A2" s="34" t="s">
        <v>14</v>
      </c>
      <c r="B2" s="34"/>
      <c r="C2" s="35"/>
      <c r="D2" s="4" t="s">
        <v>9</v>
      </c>
    </row>
    <row r="4" spans="1:4" ht="12" customHeight="1" x14ac:dyDescent="0.2">
      <c r="A4" s="28" t="s">
        <v>3</v>
      </c>
      <c r="B4" s="28" t="s">
        <v>4</v>
      </c>
      <c r="C4" s="29"/>
      <c r="D4" s="5" t="s">
        <v>6</v>
      </c>
    </row>
    <row r="5" spans="1:4" ht="13.5" thickBot="1" x14ac:dyDescent="0.25">
      <c r="A5" s="30"/>
      <c r="B5" s="30"/>
      <c r="C5" s="31"/>
      <c r="D5" s="6" t="s">
        <v>5</v>
      </c>
    </row>
    <row r="6" spans="1:4" ht="12.75" customHeight="1" x14ac:dyDescent="0.2">
      <c r="A6" s="36">
        <v>45996</v>
      </c>
      <c r="B6" s="32" t="s">
        <v>15</v>
      </c>
      <c r="C6" s="33"/>
      <c r="D6" s="7">
        <v>1.8</v>
      </c>
    </row>
    <row r="7" spans="1:4" x14ac:dyDescent="0.2">
      <c r="A7" s="15"/>
      <c r="B7" s="18" t="s">
        <v>16</v>
      </c>
      <c r="C7" s="19"/>
      <c r="D7" s="8">
        <v>1.5</v>
      </c>
    </row>
    <row r="8" spans="1:4" x14ac:dyDescent="0.2">
      <c r="A8" s="15"/>
      <c r="B8" s="18" t="s">
        <v>22</v>
      </c>
      <c r="C8" s="19"/>
      <c r="D8" s="8">
        <v>0.15</v>
      </c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8</v>
      </c>
      <c r="C11" s="3" t="s">
        <v>7</v>
      </c>
      <c r="D11" s="9">
        <f>SUM(D6:D10)</f>
        <v>3.4499999999999997</v>
      </c>
    </row>
    <row r="12" spans="1:4" ht="24.95" customHeight="1" x14ac:dyDescent="0.2">
      <c r="A12" s="15"/>
      <c r="B12" s="20"/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8</v>
      </c>
      <c r="C18" s="3" t="s">
        <v>7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8</v>
      </c>
      <c r="C25" s="3" t="s">
        <v>7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8</v>
      </c>
      <c r="C32" s="3" t="s">
        <v>7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8</v>
      </c>
      <c r="C39" s="3" t="s">
        <v>7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8</v>
      </c>
      <c r="C46" s="3" t="s">
        <v>7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8</v>
      </c>
      <c r="C53" s="3" t="s">
        <v>7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8</v>
      </c>
      <c r="C60" s="3" t="s">
        <v>7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8</v>
      </c>
      <c r="C67" s="3" t="s">
        <v>7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8</v>
      </c>
      <c r="C74" s="3" t="s">
        <v>7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8</v>
      </c>
      <c r="C81" s="3" t="s">
        <v>7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10</v>
      </c>
      <c r="D83" s="12">
        <f>D11+D18+D25+D32+D39+D46+D53+D60+D67+D74+D81</f>
        <v>3.4499999999999997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47" priority="23" operator="containsText" text="Terminé">
      <formula>NOT(ISERROR(SEARCH("Terminé",D6)))</formula>
    </cfRule>
    <cfRule type="containsText" dxfId="46" priority="24" operator="containsText" text="En cours">
      <formula>NOT(ISERROR(SEARCH("En cours",D6)))</formula>
    </cfRule>
  </conditionalFormatting>
  <conditionalFormatting sqref="D13:D18">
    <cfRule type="containsText" dxfId="45" priority="21" operator="containsText" text="Terminé">
      <formula>NOT(ISERROR(SEARCH("Terminé",D13)))</formula>
    </cfRule>
    <cfRule type="containsText" dxfId="44" priority="22" operator="containsText" text="En cours">
      <formula>NOT(ISERROR(SEARCH("En cours",D13)))</formula>
    </cfRule>
  </conditionalFormatting>
  <conditionalFormatting sqref="D20:D25">
    <cfRule type="containsText" dxfId="43" priority="3" operator="containsText" text="Terminé">
      <formula>NOT(ISERROR(SEARCH("Terminé",D20)))</formula>
    </cfRule>
    <cfRule type="containsText" dxfId="42" priority="4" operator="containsText" text="En cours">
      <formula>NOT(ISERROR(SEARCH("En cours",D20)))</formula>
    </cfRule>
  </conditionalFormatting>
  <conditionalFormatting sqref="D27:D32">
    <cfRule type="containsText" dxfId="41" priority="19" operator="containsText" text="Terminé">
      <formula>NOT(ISERROR(SEARCH("Terminé",D27)))</formula>
    </cfRule>
    <cfRule type="containsText" dxfId="40" priority="20" operator="containsText" text="En cours">
      <formula>NOT(ISERROR(SEARCH("En cours",D27)))</formula>
    </cfRule>
  </conditionalFormatting>
  <conditionalFormatting sqref="D34:D39">
    <cfRule type="containsText" dxfId="39" priority="17" operator="containsText" text="Terminé">
      <formula>NOT(ISERROR(SEARCH("Terminé",D34)))</formula>
    </cfRule>
    <cfRule type="containsText" dxfId="38" priority="18" operator="containsText" text="En cours">
      <formula>NOT(ISERROR(SEARCH("En cours",D34)))</formula>
    </cfRule>
  </conditionalFormatting>
  <conditionalFormatting sqref="D41:D46">
    <cfRule type="containsText" dxfId="37" priority="9" operator="containsText" text="Terminé">
      <formula>NOT(ISERROR(SEARCH("Terminé",D41)))</formula>
    </cfRule>
    <cfRule type="containsText" dxfId="36" priority="10" operator="containsText" text="En cours">
      <formula>NOT(ISERROR(SEARCH("En cours",D41)))</formula>
    </cfRule>
  </conditionalFormatting>
  <conditionalFormatting sqref="D48:D53">
    <cfRule type="containsText" dxfId="35" priority="7" operator="containsText" text="Terminé">
      <formula>NOT(ISERROR(SEARCH("Terminé",D48)))</formula>
    </cfRule>
    <cfRule type="containsText" dxfId="34" priority="8" operator="containsText" text="En cours">
      <formula>NOT(ISERROR(SEARCH("En cours",D48)))</formula>
    </cfRule>
  </conditionalFormatting>
  <conditionalFormatting sqref="D55:D60">
    <cfRule type="containsText" dxfId="33" priority="5" operator="containsText" text="Terminé">
      <formula>NOT(ISERROR(SEARCH("Terminé",D55)))</formula>
    </cfRule>
    <cfRule type="containsText" dxfId="32" priority="6" operator="containsText" text="En cours">
      <formula>NOT(ISERROR(SEARCH("En cours",D55)))</formula>
    </cfRule>
  </conditionalFormatting>
  <conditionalFormatting sqref="D62:D67">
    <cfRule type="containsText" dxfId="31" priority="15" operator="containsText" text="Terminé">
      <formula>NOT(ISERROR(SEARCH("Terminé",D62)))</formula>
    </cfRule>
    <cfRule type="containsText" dxfId="30" priority="16" operator="containsText" text="En cours">
      <formula>NOT(ISERROR(SEARCH("En cours",D62)))</formula>
    </cfRule>
  </conditionalFormatting>
  <conditionalFormatting sqref="D69:D74">
    <cfRule type="containsText" dxfId="29" priority="13" operator="containsText" text="Terminé">
      <formula>NOT(ISERROR(SEARCH("Terminé",D69)))</formula>
    </cfRule>
    <cfRule type="containsText" dxfId="28" priority="14" operator="containsText" text="En cours">
      <formula>NOT(ISERROR(SEARCH("En cours",D69)))</formula>
    </cfRule>
  </conditionalFormatting>
  <conditionalFormatting sqref="D76:D81">
    <cfRule type="containsText" dxfId="27" priority="11" operator="containsText" text="Terminé">
      <formula>NOT(ISERROR(SEARCH("Terminé",D76)))</formula>
    </cfRule>
    <cfRule type="containsText" dxfId="26" priority="12" operator="containsText" text="En cours">
      <formula>NOT(ISERROR(SEARCH("En cours",D76)))</formula>
    </cfRule>
  </conditionalFormatting>
  <conditionalFormatting sqref="D83">
    <cfRule type="containsText" dxfId="25" priority="1" operator="containsText" text="Terminé">
      <formula>NOT(ISERROR(SEARCH("Terminé",D83)))</formula>
    </cfRule>
    <cfRule type="containsText" dxfId="24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1010-25F2-4C04-ADFA-06E269CE0115}">
  <dimension ref="A1:D84"/>
  <sheetViews>
    <sheetView zoomScale="115" zoomScaleNormal="115" zoomScaleSheetLayoutView="115" workbookViewId="0">
      <pane ySplit="1" activePane="bottomLeft"/>
      <selection activeCell="A5" sqref="A5:XFD5"/>
      <selection pane="bottomLeft" activeCell="B17" sqref="B17:C17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1</v>
      </c>
      <c r="B1" s="27"/>
      <c r="C1" s="27"/>
      <c r="D1" s="27"/>
    </row>
    <row r="2" spans="1:4" ht="18" x14ac:dyDescent="0.25">
      <c r="A2" s="34" t="s">
        <v>2</v>
      </c>
      <c r="B2" s="34"/>
      <c r="C2" s="35"/>
      <c r="D2" s="4" t="s">
        <v>9</v>
      </c>
    </row>
    <row r="4" spans="1:4" ht="12" customHeight="1" x14ac:dyDescent="0.2">
      <c r="A4" s="28" t="s">
        <v>3</v>
      </c>
      <c r="B4" s="28" t="s">
        <v>4</v>
      </c>
      <c r="C4" s="29"/>
      <c r="D4" s="5" t="s">
        <v>6</v>
      </c>
    </row>
    <row r="5" spans="1:4" ht="13.5" thickBot="1" x14ac:dyDescent="0.25">
      <c r="A5" s="30"/>
      <c r="B5" s="30"/>
      <c r="C5" s="31"/>
      <c r="D5" s="6" t="s">
        <v>5</v>
      </c>
    </row>
    <row r="6" spans="1:4" ht="12.75" customHeight="1" x14ac:dyDescent="0.2">
      <c r="A6" s="36"/>
      <c r="B6" s="32"/>
      <c r="C6" s="33"/>
      <c r="D6" s="7"/>
    </row>
    <row r="7" spans="1:4" x14ac:dyDescent="0.2">
      <c r="A7" s="15"/>
      <c r="B7" s="18"/>
      <c r="C7" s="19"/>
      <c r="D7" s="8"/>
    </row>
    <row r="8" spans="1:4" x14ac:dyDescent="0.2">
      <c r="A8" s="15"/>
      <c r="B8" s="18"/>
      <c r="C8" s="19"/>
      <c r="D8" s="8"/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8</v>
      </c>
      <c r="C11" s="3" t="s">
        <v>7</v>
      </c>
      <c r="D11" s="9">
        <f>SUM(D6:D10)</f>
        <v>0</v>
      </c>
    </row>
    <row r="12" spans="1:4" ht="24.95" customHeight="1" x14ac:dyDescent="0.2">
      <c r="A12" s="15"/>
      <c r="B12" s="20"/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8</v>
      </c>
      <c r="C18" s="3" t="s">
        <v>7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8</v>
      </c>
      <c r="C25" s="3" t="s">
        <v>7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8</v>
      </c>
      <c r="C32" s="3" t="s">
        <v>7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8</v>
      </c>
      <c r="C39" s="3" t="s">
        <v>7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8</v>
      </c>
      <c r="C46" s="3" t="s">
        <v>7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8</v>
      </c>
      <c r="C53" s="3" t="s">
        <v>7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8</v>
      </c>
      <c r="C60" s="3" t="s">
        <v>7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8</v>
      </c>
      <c r="C67" s="3" t="s">
        <v>7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8</v>
      </c>
      <c r="C74" s="3" t="s">
        <v>7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8</v>
      </c>
      <c r="C81" s="3" t="s">
        <v>7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10</v>
      </c>
      <c r="D83" s="12">
        <f>D11+D18+D25+D32+D39+D46+D53+D60+D67+D74+D81</f>
        <v>0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3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8</vt:i4>
      </vt:variant>
    </vt:vector>
  </HeadingPairs>
  <TitlesOfParts>
    <vt:vector size="12" baseType="lpstr">
      <vt:lpstr>Journal_DEILLON_JONAS</vt:lpstr>
      <vt:lpstr>Journal_RAMIREZ_ARNAUD</vt:lpstr>
      <vt:lpstr>Journal_Barras_Matias</vt:lpstr>
      <vt:lpstr>Journal_NOM_PRENOM4</vt:lpstr>
      <vt:lpstr>Journal_Barras_Matias!Impression_des_titres</vt:lpstr>
      <vt:lpstr>Journal_DEILLON_JONAS!Impression_des_titres</vt:lpstr>
      <vt:lpstr>Journal_NOM_PRENOM4!Impression_des_titres</vt:lpstr>
      <vt:lpstr>Journal_RAMIREZ_ARNAUD!Impression_des_titres</vt:lpstr>
      <vt:lpstr>Journal_Barras_Matias!Zone_d_impression</vt:lpstr>
      <vt:lpstr>Journal_DEILLON_JONAS!Zone_d_impression</vt:lpstr>
      <vt:lpstr>Journal_NOM_PRENOM4!Zone_d_impression</vt:lpstr>
      <vt:lpstr>Journal_RAMIREZ_ARNAUD!Zone_d_impression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Barras Matias</cp:lastModifiedBy>
  <cp:lastPrinted>2022-01-05T15:16:39Z</cp:lastPrinted>
  <dcterms:created xsi:type="dcterms:W3CDTF">2002-03-11T12:50:08Z</dcterms:created>
  <dcterms:modified xsi:type="dcterms:W3CDTF">2025-12-05T15:43:25Z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